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drawings/drawing1.xml" ContentType="application/vnd.openxmlformats-officedocument.drawing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eme" sheetId="1" state="visible" r:id="rId1"/>
    <sheet name="1 Respuesta" sheetId="2" state="visible" r:id="rId2"/>
    <sheet name="2 Sectores por año" sheetId="3" state="visible" r:id="rId3"/>
    <sheet name="3 Picos de inflación" sheetId="4" state="visible" r:id="rId4"/>
    <sheet name="4 Inflación por categoría" sheetId="5" state="visible" r:id="rId5"/>
    <sheet name="5 Rubros" sheetId="6" state="visible" r:id="rId6"/>
    <sheet name="6 Canastas" sheetId="7" state="visible" r:id="rId7"/>
    <sheet name="7 Regiones" sheetId="8" state="visible" r:id="rId8"/>
    <sheet name="8 Salario en USD" sheetId="9" state="visible" r:id="rId9"/>
    <sheet name="9 Vigencia" sheetId="10" state="visible" r:id="rId10"/>
    <sheet name="Salario real mensual" sheetId="11" state="visible" r:id="rId11"/>
    <sheet name="QA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1F4E79"/>
      <sz val="16"/>
    </font>
    <font>
      <b val="1"/>
      <color rgb="00FFFFFF"/>
    </font>
    <font>
      <color rgb="000563C1"/>
      <u val="single"/>
    </font>
    <font>
      <i val="1"/>
      <color rgb="00595959"/>
    </font>
    <font>
      <b val="1"/>
      <color rgb="001F4E79"/>
      <sz val="14"/>
    </font>
    <font>
      <b val="1"/>
      <sz val="11"/>
    </font>
    <font>
      <i val="1"/>
      <color rgb="00595959"/>
      <sz val="10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2" borderId="0" pivotButton="0" quotePrefix="0" xfId="0"/>
    <xf numFmtId="0" fontId="3" fillId="0" borderId="0" applyAlignment="1" pivotButton="0" quotePrefix="0" xfId="0">
      <alignment vertical="top"/>
    </xf>
    <xf numFmtId="0" fontId="4" fillId="0" borderId="0" pivotButton="0" quotePrefix="0" xfId="0"/>
    <xf numFmtId="0" fontId="5" fillId="0" borderId="0" pivotButton="0" quotePrefix="0" xfId="0"/>
    <xf numFmtId="0" fontId="6" fillId="0" borderId="0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  <xf numFmtId="4" fontId="0" fillId="0" borderId="0" pivotButton="0" quotePrefix="0" xfId="0"/>
    <xf numFmtId="0" fontId="3" fillId="0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Salario real por sector (dic-2016 = 100)</a:t>
            </a:r>
          </a:p>
        </rich>
      </tx>
    </title>
    <plotArea>
      <lineChart>
        <grouping val="standard"/>
        <ser>
          <idx val="0"/>
          <order val="0"/>
          <tx>
            <strRef>
              <f>'Salario real mensual'!B5</f>
            </strRef>
          </tx>
          <spPr>
            <a:ln w="22000">
              <a:solidFill>
                <a:srgbClr val="2A78D6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'Salario real mensual'!$A$6:$A$121</f>
            </numRef>
          </cat>
          <val>
            <numRef>
              <f>'Salario real mensual'!$B$6:$B$121</f>
            </numRef>
          </val>
          <smooth val="0"/>
        </ser>
        <ser>
          <idx val="1"/>
          <order val="1"/>
          <tx>
            <strRef>
              <f>'Salario real mensual'!C5</f>
            </strRef>
          </tx>
          <spPr>
            <a:ln w="22000">
              <a:solidFill>
                <a:srgbClr val="EB683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'Salario real mensual'!$A$6:$A$121</f>
            </numRef>
          </cat>
          <val>
            <numRef>
              <f>'Salario real mensual'!$C$6:$C$121</f>
            </numRef>
          </val>
          <smooth val="0"/>
        </ser>
        <ser>
          <idx val="2"/>
          <order val="2"/>
          <tx>
            <strRef>
              <f>'Salario real mensual'!D5</f>
            </strRef>
          </tx>
          <spPr>
            <a:ln w="22000">
              <a:solidFill>
                <a:srgbClr val="1BAF7A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'Salario real mensual'!$A$6:$A$121</f>
            </numRef>
          </cat>
          <val>
            <numRef>
              <f>'Salario real mensual'!$D$6:$D$121</f>
            </numRef>
          </val>
          <smooth val="0"/>
        </ser>
        <ser>
          <idx val="3"/>
          <order val="3"/>
          <tx>
            <strRef>
              <f>'Salario real mensual'!E5</f>
            </strRef>
          </tx>
          <spPr>
            <a:ln w="22000">
              <a:solidFill>
                <a:srgbClr val="121211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'Salario real mensual'!$A$6:$A$121</f>
            </numRef>
          </cat>
          <val>
            <numRef>
              <f>'Salario real mensual'!$E$6:$E$121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  <tickLblSkip val="12"/>
        <tickMarkSkip val="12"/>
      </catAx>
      <valAx>
        <axId val="100"/>
        <scaling>
          <orientation val="minMax"/>
          <min val="50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Índice</a:t>
                </a:r>
              </a:p>
            </rich>
          </tx>
        </title>
        <numFmt formatCode="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7</col>
      <colOff>0</colOff>
      <row>4</row>
      <rowOff>0</rowOff>
    </from>
    <ext cx="792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_01_" displayName="t_01_" ref="A5:J10" headerRowCount="1">
  <autoFilter ref="A5:J10"/>
  <tableColumns count="10">
    <tableColumn id="1" name="Serie"/>
    <tableColumn id="2" name="Hasta"/>
    <tableColumn id="3" name="Índice real"/>
    <tableColumn id="4" name="Var. real %"/>
    <tableColumn id="5" name="Máximo"/>
    <tableColumn id="6" name="Mes del máximo"/>
    <tableColumn id="7" name="Mínimo"/>
    <tableColumn id="8" name="Mes del mínimo"/>
    <tableColumn id="9" name="Distancia al máximo %"/>
    <tableColumn id="10" name="Puesto"/>
  </tableColumns>
  <tableStyleInfo name="TableStyleMedium2" showRowStripes="1"/>
</table>
</file>

<file path=xl/tables/table2.xml><?xml version="1.0" encoding="utf-8"?>
<table xmlns="http://schemas.openxmlformats.org/spreadsheetml/2006/main" id="2" name="t_02_" displayName="t_02_" ref="A5:H15" headerRowCount="1">
  <autoFilter ref="A5:H15"/>
  <tableColumns count="8">
    <tableColumn id="1" name="Año"/>
    <tableColumn id="2" name="Hasta"/>
    <tableColumn id="3" name="Privado registrado %"/>
    <tableColumn id="4" name="Público %"/>
    <tableColumn id="5" name="No registrado %"/>
    <tableColumn id="6" name="Total %"/>
    <tableColumn id="7" name="Mejor sector"/>
    <tableColumn id="8" name="Peor sector"/>
  </tableColumns>
  <tableStyleInfo name="TableStyleMedium2" showRowStripes="1"/>
</table>
</file>

<file path=xl/tables/table3.xml><?xml version="1.0" encoding="utf-8"?>
<table xmlns="http://schemas.openxmlformats.org/spreadsheetml/2006/main" id="3" name="t_03_" displayName="t_03_" ref="A5:E15" headerRowCount="1">
  <autoFilter ref="A5:E15"/>
  <tableColumns count="5">
    <tableColumn id="1" name="Puesto"/>
    <tableColumn id="2" name="Mes"/>
    <tableColumn id="3" name="Mensual %"/>
    <tableColumn id="4" name="Interanual %"/>
    <tableColumn id="5" name="Puesto interanual"/>
  </tableColumns>
  <tableStyleInfo name="TableStyleMedium2" showRowStripes="1"/>
</table>
</file>

<file path=xl/tables/table4.xml><?xml version="1.0" encoding="utf-8"?>
<table xmlns="http://schemas.openxmlformats.org/spreadsheetml/2006/main" id="4" name="t_04_" displayName="t_04_" ref="A5:G15" headerRowCount="1">
  <autoFilter ref="A5:G15"/>
  <tableColumns count="7">
    <tableColumn id="1" name="Año"/>
    <tableColumn id="2" name="Hasta"/>
    <tableColumn id="3" name="Nivel general %"/>
    <tableColumn id="4" name="Núcleo %"/>
    <tableColumn id="5" name="Regulados %"/>
    <tableColumn id="6" name="Estacionales %"/>
    <tableColumn id="7" name="Regulados − núcleo (pp)"/>
  </tableColumns>
  <tableStyleInfo name="TableStyleMedium2" showRowStripes="1"/>
</table>
</file>

<file path=xl/tables/table5.xml><?xml version="1.0" encoding="utf-8"?>
<table xmlns="http://schemas.openxmlformats.org/spreadsheetml/2006/main" id="5" name="t_05_" displayName="t_05_" ref="A5:I17" headerRowCount="1">
  <autoFilter ref="A5:I17"/>
  <tableColumns count="9">
    <tableColumn id="1" name="Puesto"/>
    <tableColumn id="2" name="Rubro"/>
    <tableColumn id="3" name="Hasta"/>
    <tableColumn id="4" name="Veces"/>
    <tableColumn id="5" name="Acumulado desde dic-2016 %"/>
    <tableColumn id="6" name="Vs. nivel general %"/>
    <tableColumn id="7" name="Puesto último año"/>
    <tableColumn id="8" name="Último año %"/>
    <tableColumn id="9" name="Vs. general (pp)"/>
  </tableColumns>
  <tableStyleInfo name="TableStyleMedium2" showRowStripes="1"/>
</table>
</file>

<file path=xl/tables/table6.xml><?xml version="1.0" encoding="utf-8"?>
<table xmlns="http://schemas.openxmlformats.org/spreadsheetml/2006/main" id="6" name="t_06_" displayName="t_06_" ref="A5:E16" headerRowCount="1">
  <autoFilter ref="A5:E16"/>
  <tableColumns count="5">
    <tableColumn id="1" name="Mes"/>
    <tableColumn id="2" name="CBT ($)"/>
    <tableColumn id="3" name="CBT por RIPTE"/>
    <tableColumn id="4" name="CBT por salario mínimo"/>
    <tableColumn id="5" name="CBT por jubilación mínima"/>
  </tableColumns>
  <tableStyleInfo name="TableStyleMedium2" showRowStripes="1"/>
</table>
</file>

<file path=xl/tables/table7.xml><?xml version="1.0" encoding="utf-8"?>
<table xmlns="http://schemas.openxmlformats.org/spreadsheetml/2006/main" id="7" name="t_07_" displayName="t_07_" ref="A5:G12" headerRowCount="1">
  <autoFilter ref="A5:G12"/>
  <tableColumns count="7">
    <tableColumn id="1" name="Serie"/>
    <tableColumn id="2" name="Hasta"/>
    <tableColumn id="3" name="Acumulado desde dic-2016 %"/>
    <tableColumn id="4" name="Puesto"/>
    <tableColumn id="5" name="Interanual %"/>
    <tableColumn id="6" name="Puesto interanual"/>
    <tableColumn id="7" name="Vs. país (pp)"/>
  </tableColumns>
  <tableStyleInfo name="TableStyleMedium2" showRowStripes="1"/>
</table>
</file>

<file path=xl/tables/table8.xml><?xml version="1.0" encoding="utf-8"?>
<table xmlns="http://schemas.openxmlformats.org/spreadsheetml/2006/main" id="8" name="t_08_" displayName="t_08_" ref="A5:F15" headerRowCount="1">
  <autoFilter ref="A5:F15"/>
  <tableColumns count="6">
    <tableColumn id="1" name="Año"/>
    <tableColumn id="2" name="Meses"/>
    <tableColumn id="3" name="RIPTE (US$)"/>
    <tableColumn id="4" name="Salario mínimo (US$)"/>
    <tableColumn id="5" name="Jubilación mínima (US$)"/>
    <tableColumn id="6" name="Tipo de cambio ($/US$)"/>
  </tableColumns>
  <tableStyleInfo name="TableStyleMedium2" showRowStripes="1"/>
</table>
</file>

<file path=xl/tables/table9.xml><?xml version="1.0" encoding="utf-8"?>
<table xmlns="http://schemas.openxmlformats.org/spreadsheetml/2006/main" id="9" name="t_09_" displayName="t_09_" ref="A5:C10" headerRowCount="1">
  <autoFilter ref="A5:C10"/>
  <tableColumns count="3">
    <tableColumn id="1" name="Análisis"/>
    <tableColumn id="2" name="Vale hasta"/>
    <tableColumn id="3" name="Rezago máx. (meses)"/>
  </tableColumns>
  <tableStyleInfo name="TableStyleMedium2" showRowStripes="1"/>
</table>
</file>

<file path=xl/tables/table10.xml><?xml version="1.0" encoding="utf-8"?>
<table xmlns="http://schemas.openxmlformats.org/spreadsheetml/2006/main" id="10" name="t_salario_real" displayName="t_salario_real" ref="A5:E121" headerRowCount="1">
  <autoFilter ref="A5:E121"/>
  <tableColumns count="5">
    <tableColumn id="1" name="Mes"/>
    <tableColumn id="2" name="Privado registrado"/>
    <tableColumn id="3" name="Público"/>
    <tableColumn id="4" name="Privado no registrado"/>
    <tableColumn id="5" name="Total"/>
  </tableColumns>
  <tableStyleInfo name="TableStyleMedium2" showRowStripes="1"/>
</table>
</file>

<file path=xl/tables/table11.xml><?xml version="1.0" encoding="utf-8"?>
<table xmlns="http://schemas.openxmlformats.org/spreadsheetml/2006/main" id="11" name="t_qa" displayName="t_qa" ref="A5:C16" headerRowCount="1">
  <autoFilter ref="A5:C16"/>
  <tableColumns count="3">
    <tableColumn id="1" name="Nivel"/>
    <tableColumn id="2" name="Chequeo"/>
    <tableColumn id="3" name="Resultado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_rels/sheet10.xml.rels><Relationships xmlns="http://schemas.openxmlformats.org/package/2006/relationships"><Relationship Type="http://schemas.openxmlformats.org/officeDocument/2006/relationships/table" Target="/xl/tables/table9.xml" Id="rId1" 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1.xml" Id="rId1" /><Relationship Type="http://schemas.openxmlformats.org/officeDocument/2006/relationships/table" Target="/xl/tables/table10.xml" Id="rId2" 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17"/>
  <sheetViews>
    <sheetView workbookViewId="0">
      <selection activeCell="A1" sqref="A1"/>
    </sheetView>
  </sheetViews>
  <sheetFormatPr baseColWidth="8" defaultRowHeight="15"/>
  <cols>
    <col width="26" customWidth="1" min="1" max="1"/>
    <col width="95" customWidth="1" min="2" max="2"/>
  </cols>
  <sheetData>
    <row r="1">
      <c r="A1" s="1" t="inlineStr">
        <is>
          <t>¿Le ganaron los salarios a la inflación? Argentina 2016–2026</t>
        </is>
      </c>
    </row>
    <row r="2" ht="34" customHeight="1">
      <c r="A2" s="2" t="inlineStr">
        <is>
          <t>Datos oficiales de INDEC, BCRA, ANSES y MTEySS descargados el 21/10/2026. Cada hoja numerada responde una pregunta de negocio con el resultado de una consulta SQL de sql/consultas.</t>
        </is>
      </c>
    </row>
    <row r="4">
      <c r="A4" s="3" t="inlineStr">
        <is>
          <t>Hoja</t>
        </is>
      </c>
      <c r="B4" s="3" t="inlineStr">
        <is>
          <t>Qué responde</t>
        </is>
      </c>
    </row>
    <row r="5">
      <c r="A5" s="4" t="inlineStr">
        <is>
          <t>1 Respuesta</t>
        </is>
      </c>
      <c r="B5" s="2" t="inlineStr">
        <is>
          <t>¿Le ganaron los salarios a la inflación entre dic-2016 y el último mes con datos?</t>
        </is>
      </c>
    </row>
    <row r="6">
      <c r="A6" s="4" t="inlineStr">
        <is>
          <t>2 Sectores por año</t>
        </is>
      </c>
      <c r="B6" s="2" t="inlineStr">
        <is>
          <t>¿Qué sector salió mejor y cuál peor parado frente a la inflación cada año?</t>
        </is>
      </c>
    </row>
    <row r="7">
      <c r="A7" s="4" t="inlineStr">
        <is>
          <t>3 Picos de inflación</t>
        </is>
      </c>
      <c r="B7" s="2" t="inlineStr">
        <is>
          <t>¿Cuáles fueron los meses de mayor inflación desde 2017?</t>
        </is>
      </c>
    </row>
    <row r="8">
      <c r="A8" s="4" t="inlineStr">
        <is>
          <t>4 Inflación por categoría</t>
        </is>
      </c>
      <c r="B8" s="2" t="inlineStr">
        <is>
          <t>¿Cuánta inflación hubo cada año y qué la empujó: núcleo, regulados o estacionales?</t>
        </is>
      </c>
    </row>
    <row r="9">
      <c r="A9" s="4" t="inlineStr">
        <is>
          <t>5 Rubros</t>
        </is>
      </c>
      <c r="B9" s="2" t="inlineStr">
        <is>
          <t>¿Qué rubros del IPC subieron más y cuáles menos?</t>
        </is>
      </c>
    </row>
    <row r="10">
      <c r="A10" s="4" t="inlineStr">
        <is>
          <t>6 Canastas</t>
        </is>
      </c>
      <c r="B10" s="2" t="inlineStr">
        <is>
          <t>¿Cuántas Canastas Básicas Totales compran el salario promedio (RIPTE), el salario mínimo y la jubilación mínima?</t>
        </is>
      </c>
    </row>
    <row r="11">
      <c r="A11" s="4" t="inlineStr">
        <is>
          <t>7 Regiones</t>
        </is>
      </c>
      <c r="B11" s="2" t="inlineStr">
        <is>
          <t>¿En qué región del país subieron más los precios?</t>
        </is>
      </c>
    </row>
    <row r="12">
      <c r="A12" s="4" t="inlineStr">
        <is>
          <t>8 Salario en USD</t>
        </is>
      </c>
      <c r="B12" s="2" t="inlineStr">
        <is>
          <t>¿Cuánto vale el salario en dólares oficiales y cómo cambió?</t>
        </is>
      </c>
    </row>
    <row r="13">
      <c r="A13" s="4" t="inlineStr">
        <is>
          <t>9 Vigencia</t>
        </is>
      </c>
      <c r="B13" s="2" t="inlineStr">
        <is>
          <t>¿Hasta qué mes vale cada conclusión?</t>
        </is>
      </c>
    </row>
    <row r="14">
      <c r="A14" s="4" t="inlineStr">
        <is>
          <t>Salario real mensual</t>
        </is>
      </c>
      <c r="B14" s="2" t="inlineStr">
        <is>
          <t>La serie mensual de salario real por sector, con gráfico.</t>
        </is>
      </c>
    </row>
    <row r="15">
      <c r="A15" s="4" t="inlineStr">
        <is>
          <t>QA</t>
        </is>
      </c>
      <c r="B15" s="2" t="inlineStr">
        <is>
          <t>Los chequeos automáticos de calidad de datos y su resultado.</t>
        </is>
      </c>
    </row>
    <row r="17">
      <c r="A17" s="5" t="inlineStr">
        <is>
          <t>Autor: Juan Barros · github.com/JuanMBF/InflationArg</t>
        </is>
      </c>
    </row>
  </sheetData>
  <mergeCells count="1">
    <mergeCell ref="A2:B2"/>
  </mergeCells>
  <hyperlinks>
    <hyperlink ref="A5" location="'1 Respuesta'!A1" display="1 Respuesta"/>
    <hyperlink ref="A6" location="'2 Sectores por año'!A1" display="2 Sectores por año"/>
    <hyperlink ref="A7" location="'3 Picos de inflación'!A1" display="3 Picos de inflación"/>
    <hyperlink ref="A8" location="'4 Inflación por categoría'!A1" display="4 Inflación por categoría"/>
    <hyperlink ref="A9" location="'5 Rubros'!A1" display="5 Rubros"/>
    <hyperlink ref="A10" location="'6 Canastas'!A1" display="6 Canastas"/>
    <hyperlink ref="A11" location="'7 Regiones'!A1" display="7 Regiones"/>
    <hyperlink ref="A12" location="'8 Salario en USD'!A1" display="8 Salario en USD"/>
    <hyperlink ref="A13" location="'9 Vigencia'!A1" display="9 Vigencia"/>
    <hyperlink ref="A14" location="'Salario real mensual'!A1" display="Salario real mensual"/>
    <hyperlink ref="A15" location="'QA'!A1" display="QA"/>
  </hyperlinks>
  <printOptions horizontalCentered="1"/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J12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5" customWidth="1" min="1" max="1"/>
    <col width="11" customWidth="1" min="2" max="2"/>
    <col width="14" customWidth="1" min="3" max="3"/>
    <col width="14" customWidth="1" min="4" max="4"/>
    <col width="9" customWidth="1" min="5" max="5"/>
    <col width="17" customWidth="1" min="6" max="6"/>
    <col width="9" customWidth="1" min="7" max="7"/>
    <col width="17" customWidth="1" min="8" max="8"/>
    <col width="24" customWidth="1" min="9" max="9"/>
    <col width="9" customWidth="1" min="10" max="10"/>
  </cols>
  <sheetData>
    <row r="1">
      <c r="A1" s="6" t="inlineStr">
        <is>
          <t>1 Respuesta</t>
        </is>
      </c>
    </row>
    <row r="2" ht="19" customHeight="1">
      <c r="A2" s="7" t="inlineStr">
        <is>
          <t>¿Le ganaron los salarios a la inflación entre dic-2016 y el último mes con datos?</t>
        </is>
      </c>
    </row>
    <row r="3" ht="49" customHeight="1">
      <c r="A3" s="8" t="inlineStr">
        <is>
          <t>Cómo se lee: indice_real = 100 es el mismo poder de compra que en dic-2016; 90 es un 10 % menos. var_real_pct es la ganancia (+) o pérdida (-) de poder de compra en todo el período. Cada sector llega hasta su último mes con datos (columna hasta): el privado no registrado se publica con 5 meses de rezago y se fecha en el mes que mide, así que termina antes. maximo / minimo muestran el mejor y el peor momento de cada sector.</t>
        </is>
      </c>
    </row>
    <row r="5">
      <c r="A5" t="inlineStr">
        <is>
          <t>Serie</t>
        </is>
      </c>
      <c r="B5" t="inlineStr">
        <is>
          <t>Hasta</t>
        </is>
      </c>
      <c r="C5" t="inlineStr">
        <is>
          <t>Índice real</t>
        </is>
      </c>
      <c r="D5" t="inlineStr">
        <is>
          <t>Var. real %</t>
        </is>
      </c>
      <c r="E5" t="inlineStr">
        <is>
          <t>Máximo</t>
        </is>
      </c>
      <c r="F5" t="inlineStr">
        <is>
          <t>Mes del máximo</t>
        </is>
      </c>
      <c r="G5" t="inlineStr">
        <is>
          <t>Mínimo</t>
        </is>
      </c>
      <c r="H5" t="inlineStr">
        <is>
          <t>Mes del mínimo</t>
        </is>
      </c>
      <c r="I5" t="inlineStr">
        <is>
          <t>Distancia al máximo %</t>
        </is>
      </c>
      <c r="J5" t="inlineStr">
        <is>
          <t>Puesto</t>
        </is>
      </c>
    </row>
    <row r="6">
      <c r="A6" t="inlineStr">
        <is>
          <t>Salarios – privado no registrado</t>
        </is>
      </c>
      <c r="B6" t="inlineStr">
        <is>
          <t>feb-2026</t>
        </is>
      </c>
      <c r="C6" s="9" t="n">
        <v>93.95</v>
      </c>
      <c r="D6" s="9" t="n">
        <v>-6.05</v>
      </c>
      <c r="E6" s="9" t="n">
        <v>103</v>
      </c>
      <c r="F6" t="inlineStr">
        <is>
          <t>jul-2017</t>
        </is>
      </c>
      <c r="G6" s="9" t="n">
        <v>53.54</v>
      </c>
      <c r="H6" t="inlineStr">
        <is>
          <t>ene-2024</t>
        </is>
      </c>
      <c r="I6" s="9" t="n">
        <v>-8.789999999999999</v>
      </c>
      <c r="J6" t="n">
        <v>1</v>
      </c>
    </row>
    <row r="7">
      <c r="A7" t="inlineStr">
        <is>
          <t>Salarios – privado registrado</t>
        </is>
      </c>
      <c r="B7" t="inlineStr">
        <is>
          <t>jul-2026</t>
        </is>
      </c>
      <c r="C7" s="9" t="n">
        <v>79.51000000000001</v>
      </c>
      <c r="D7" s="9" t="n">
        <v>-20.49</v>
      </c>
      <c r="E7" s="9" t="n">
        <v>104.91</v>
      </c>
      <c r="F7" t="inlineStr">
        <is>
          <t>ago-2017</t>
        </is>
      </c>
      <c r="G7" s="9" t="n">
        <v>72.34</v>
      </c>
      <c r="H7" t="inlineStr">
        <is>
          <t>mar-2024</t>
        </is>
      </c>
      <c r="I7" s="9" t="n">
        <v>-24.21</v>
      </c>
      <c r="J7" t="n">
        <v>2</v>
      </c>
    </row>
    <row r="8">
      <c r="A8" t="inlineStr">
        <is>
          <t>Salarios – total</t>
        </is>
      </c>
      <c r="B8" t="inlineStr">
        <is>
          <t>jul-2026</t>
        </is>
      </c>
      <c r="C8" s="9" t="n">
        <v>78.20999999999999</v>
      </c>
      <c r="D8" s="9" t="n">
        <v>-21.79</v>
      </c>
      <c r="E8" s="9" t="n">
        <v>104.51</v>
      </c>
      <c r="F8" t="inlineStr">
        <is>
          <t>ago-2017</t>
        </is>
      </c>
      <c r="G8" s="9" t="n">
        <v>62.06</v>
      </c>
      <c r="H8" t="inlineStr">
        <is>
          <t>mar-2024</t>
        </is>
      </c>
      <c r="I8" s="9" t="n">
        <v>-25.16</v>
      </c>
      <c r="J8" t="n">
        <v>3</v>
      </c>
    </row>
    <row r="9">
      <c r="A9" t="inlineStr">
        <is>
          <t>Salarios – registrados</t>
        </is>
      </c>
      <c r="B9" t="inlineStr">
        <is>
          <t>jul-2026</t>
        </is>
      </c>
      <c r="C9" s="9" t="n">
        <v>74.38</v>
      </c>
      <c r="D9" s="9" t="n">
        <v>-25.62</v>
      </c>
      <c r="E9" s="9" t="n">
        <v>104.17</v>
      </c>
      <c r="F9" t="inlineStr">
        <is>
          <t>ago-2017</t>
        </is>
      </c>
      <c r="G9" s="9" t="n">
        <v>68.20999999999999</v>
      </c>
      <c r="H9" t="inlineStr">
        <is>
          <t>ene-2024</t>
        </is>
      </c>
      <c r="I9" s="9" t="n">
        <v>-28.6</v>
      </c>
      <c r="J9" t="n">
        <v>4</v>
      </c>
    </row>
    <row r="10">
      <c r="A10" t="inlineStr">
        <is>
          <t>Salarios – sector público</t>
        </is>
      </c>
      <c r="B10" t="inlineStr">
        <is>
          <t>jul-2026</t>
        </is>
      </c>
      <c r="C10" s="9" t="n">
        <v>65.70999999999999</v>
      </c>
      <c r="D10" s="9" t="n">
        <v>-34.29</v>
      </c>
      <c r="E10" s="9" t="n">
        <v>103.15</v>
      </c>
      <c r="F10" t="inlineStr">
        <is>
          <t>oct-2017</t>
        </is>
      </c>
      <c r="G10" s="9" t="n">
        <v>60.99</v>
      </c>
      <c r="H10" t="inlineStr">
        <is>
          <t>ene-2024</t>
        </is>
      </c>
      <c r="I10" s="9" t="n">
        <v>-36.29</v>
      </c>
      <c r="J10" t="n">
        <v>5</v>
      </c>
    </row>
    <row r="12">
      <c r="A12" s="10" t="inlineStr">
        <is>
          <t>← Volver al índice</t>
        </is>
      </c>
    </row>
  </sheetData>
  <mergeCells count="2">
    <mergeCell ref="A3:J3"/>
    <mergeCell ref="A2:J2"/>
  </mergeCells>
  <hyperlinks>
    <hyperlink ref="A12" location="'Leeme'!A1" display="← Volver al índice"/>
  </hyperlinks>
  <printOptions horizontalCentered="1"/>
  <pageMargins left="0.75" right="0.75" top="1" bottom="1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H1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7" customWidth="1" min="1" max="1"/>
    <col width="11" customWidth="1" min="2" max="2"/>
    <col width="23" customWidth="1" min="3" max="3"/>
    <col width="12" customWidth="1" min="4" max="4"/>
    <col width="18" customWidth="1" min="5" max="5"/>
    <col width="10" customWidth="1" min="6" max="6"/>
    <col width="35" customWidth="1" min="7" max="7"/>
    <col width="35" customWidth="1" min="8" max="8"/>
  </cols>
  <sheetData>
    <row r="1">
      <c r="A1" s="6" t="inlineStr">
        <is>
          <t>2 Sectores por año</t>
        </is>
      </c>
    </row>
    <row r="2" ht="19" customHeight="1">
      <c r="A2" s="7" t="inlineStr">
        <is>
          <t>¿Qué sector salió mejor y cuál peor parado frente a la inflación cada año?</t>
        </is>
      </c>
    </row>
    <row r="3" ht="49" customHeight="1">
      <c r="A3" s="8" t="inlineStr">
        <is>
          <t>Cómo se lee: var_real_pct compara diciembre contra diciembre del año anterior (el último año, contra el último mes en que hay dato de todos los sectores). Positivo = le ganó a la inflación. mejor / peor: el sector con mejor y peor resultado del año, aunque los dos hayan perdido (o ganado) contra la inflación.</t>
        </is>
      </c>
    </row>
    <row r="5">
      <c r="A5" t="inlineStr">
        <is>
          <t>Año</t>
        </is>
      </c>
      <c r="B5" t="inlineStr">
        <is>
          <t>Hasta</t>
        </is>
      </c>
      <c r="C5" t="inlineStr">
        <is>
          <t>Privado registrado %</t>
        </is>
      </c>
      <c r="D5" t="inlineStr">
        <is>
          <t>Público %</t>
        </is>
      </c>
      <c r="E5" t="inlineStr">
        <is>
          <t>No registrado %</t>
        </is>
      </c>
      <c r="F5" t="inlineStr">
        <is>
          <t>Total %</t>
        </is>
      </c>
      <c r="G5" t="inlineStr">
        <is>
          <t>Mejor sector</t>
        </is>
      </c>
      <c r="H5" t="inlineStr">
        <is>
          <t>Peor sector</t>
        </is>
      </c>
    </row>
    <row r="6">
      <c r="A6" t="n">
        <v>2017</v>
      </c>
      <c r="B6" t="inlineStr">
        <is>
          <t>dic-2017</t>
        </is>
      </c>
      <c r="C6" s="9" t="n">
        <v>2.03</v>
      </c>
      <c r="D6" s="9" t="n">
        <v>0.15</v>
      </c>
      <c r="E6" s="9" t="n">
        <v>-1.23</v>
      </c>
      <c r="F6" s="9" t="n">
        <v>2.15</v>
      </c>
      <c r="G6" t="inlineStr">
        <is>
          <t>Salarios – privado registrado</t>
        </is>
      </c>
      <c r="H6" t="inlineStr">
        <is>
          <t>Salarios – privado no registrado</t>
        </is>
      </c>
    </row>
    <row r="7">
      <c r="A7" t="n">
        <v>2018</v>
      </c>
      <c r="B7" t="inlineStr">
        <is>
          <t>dic-2018</t>
        </is>
      </c>
      <c r="C7" s="9" t="n">
        <v>-11.67</v>
      </c>
      <c r="D7" s="9" t="n">
        <v>-11.77</v>
      </c>
      <c r="E7" s="9" t="n">
        <v>-10.58</v>
      </c>
      <c r="F7" s="9" t="n">
        <v>-12.16</v>
      </c>
      <c r="G7" t="inlineStr">
        <is>
          <t>Salarios – privado no registrado</t>
        </is>
      </c>
      <c r="H7" t="inlineStr">
        <is>
          <t>Salarios – sector público</t>
        </is>
      </c>
    </row>
    <row r="8">
      <c r="A8" t="n">
        <v>2019</v>
      </c>
      <c r="B8" t="inlineStr">
        <is>
          <t>dic-2019</t>
        </is>
      </c>
      <c r="C8" s="9" t="n">
        <v>-6.2</v>
      </c>
      <c r="D8" s="9" t="n">
        <v>-7.12</v>
      </c>
      <c r="E8" s="9" t="n">
        <v>-14.11</v>
      </c>
      <c r="F8" s="9" t="n">
        <v>-8.41</v>
      </c>
      <c r="G8" t="inlineStr">
        <is>
          <t>Salarios – privado registrado</t>
        </is>
      </c>
      <c r="H8" t="inlineStr">
        <is>
          <t>Salarios – privado no registrado</t>
        </is>
      </c>
    </row>
    <row r="9">
      <c r="A9" t="n">
        <v>2020</v>
      </c>
      <c r="B9" t="inlineStr">
        <is>
          <t>dic-2020</t>
        </is>
      </c>
      <c r="C9" s="9" t="n">
        <v>-1.31</v>
      </c>
      <c r="D9" s="9" t="n">
        <v>-6.85</v>
      </c>
      <c r="E9" s="9" t="n">
        <v>3.1</v>
      </c>
      <c r="F9" s="9" t="n">
        <v>-2.32</v>
      </c>
      <c r="G9" t="inlineStr">
        <is>
          <t>Salarios – privado no registrado</t>
        </is>
      </c>
      <c r="H9" t="inlineStr">
        <is>
          <t>Salarios – sector público</t>
        </is>
      </c>
    </row>
    <row r="10">
      <c r="A10" t="n">
        <v>2021</v>
      </c>
      <c r="B10" t="inlineStr">
        <is>
          <t>dic-2021</t>
        </is>
      </c>
      <c r="C10" s="9" t="n">
        <v>2.87</v>
      </c>
      <c r="D10" s="9" t="n">
        <v>5.1</v>
      </c>
      <c r="E10" s="9" t="n">
        <v>1.27</v>
      </c>
      <c r="F10" s="9" t="n">
        <v>1.6</v>
      </c>
      <c r="G10" t="inlineStr">
        <is>
          <t>Salarios – sector público</t>
        </is>
      </c>
      <c r="H10" t="inlineStr">
        <is>
          <t>Salarios – privado no registrado</t>
        </is>
      </c>
    </row>
    <row r="11">
      <c r="A11" t="n">
        <v>2022</v>
      </c>
      <c r="B11" t="inlineStr">
        <is>
          <t>dic-2022</t>
        </is>
      </c>
      <c r="C11" s="9" t="n">
        <v>-0.53</v>
      </c>
      <c r="D11" s="9" t="n">
        <v>2.35</v>
      </c>
      <c r="E11" s="9" t="n">
        <v>-8.91</v>
      </c>
      <c r="F11" s="9" t="n">
        <v>-2.28</v>
      </c>
      <c r="G11" t="inlineStr">
        <is>
          <t>Salarios – sector público</t>
        </is>
      </c>
      <c r="H11" t="inlineStr">
        <is>
          <t>Salarios – privado no registrado</t>
        </is>
      </c>
    </row>
    <row r="12">
      <c r="A12" t="n">
        <v>2023</v>
      </c>
      <c r="B12" t="inlineStr">
        <is>
          <t>dic-2023</t>
        </is>
      </c>
      <c r="C12" s="9" t="n">
        <v>-14.65</v>
      </c>
      <c r="D12" s="9" t="n">
        <v>-20.18</v>
      </c>
      <c r="E12" s="9" t="n">
        <v>-18.04</v>
      </c>
      <c r="F12" s="9" t="n">
        <v>-18.86</v>
      </c>
      <c r="G12" t="inlineStr">
        <is>
          <t>Salarios – privado registrado</t>
        </is>
      </c>
      <c r="H12" t="inlineStr">
        <is>
          <t>Salarios – sector público</t>
        </is>
      </c>
    </row>
    <row r="13">
      <c r="A13" t="n">
        <v>2024</v>
      </c>
      <c r="B13" t="inlineStr">
        <is>
          <t>dic-2024</t>
        </is>
      </c>
      <c r="C13" s="9" t="n">
        <v>13.66</v>
      </c>
      <c r="D13" s="9" t="n">
        <v>0.7</v>
      </c>
      <c r="E13" s="9" t="n">
        <v>22.65</v>
      </c>
      <c r="F13" s="9" t="n">
        <v>12.72</v>
      </c>
      <c r="G13" t="inlineStr">
        <is>
          <t>Salarios – privado no registrado</t>
        </is>
      </c>
      <c r="H13" t="inlineStr">
        <is>
          <t>Salarios – sector público</t>
        </is>
      </c>
    </row>
    <row r="14">
      <c r="A14" t="n">
        <v>2025</v>
      </c>
      <c r="B14" t="inlineStr">
        <is>
          <t>dic-2025</t>
        </is>
      </c>
      <c r="C14" s="9" t="n">
        <v>-2.13</v>
      </c>
      <c r="D14" s="9" t="n">
        <v>-2</v>
      </c>
      <c r="E14" s="9" t="n">
        <v>26.39</v>
      </c>
      <c r="F14" s="9" t="n">
        <v>5.08</v>
      </c>
      <c r="G14" t="inlineStr">
        <is>
          <t>Salarios – privado no registrado</t>
        </is>
      </c>
      <c r="H14" t="inlineStr">
        <is>
          <t>Salarios – privado registrado</t>
        </is>
      </c>
    </row>
    <row r="15">
      <c r="A15" t="n">
        <v>2026</v>
      </c>
      <c r="B15" t="inlineStr">
        <is>
          <t>feb-2026</t>
        </is>
      </c>
      <c r="C15" s="9" t="n">
        <v>-2.02</v>
      </c>
      <c r="D15" s="9" t="n">
        <v>-1.59</v>
      </c>
      <c r="E15" s="9" t="n">
        <v>2.49</v>
      </c>
      <c r="F15" s="9" t="n">
        <v>-0.79</v>
      </c>
      <c r="G15" t="inlineStr">
        <is>
          <t>Salarios – privado no registrado</t>
        </is>
      </c>
      <c r="H15" t="inlineStr">
        <is>
          <t>Salarios – privado registrado</t>
        </is>
      </c>
    </row>
    <row r="17">
      <c r="A17" s="10" t="inlineStr">
        <is>
          <t>← Volver al índice</t>
        </is>
      </c>
    </row>
  </sheetData>
  <mergeCells count="2">
    <mergeCell ref="A3:H3"/>
    <mergeCell ref="A2:H2"/>
  </mergeCells>
  <hyperlinks>
    <hyperlink ref="A17" location="'Leeme'!A1" display="← Volver al índice"/>
  </hyperlinks>
  <printOptions horizontalCentered="1"/>
  <pageMargins left="0.75" right="0.75" top="1" bottom="1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1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9" customWidth="1" min="1" max="1"/>
    <col width="11" customWidth="1" min="2" max="2"/>
    <col width="12" customWidth="1" min="3" max="3"/>
    <col width="15" customWidth="1" min="4" max="4"/>
    <col width="20" customWidth="1" min="5" max="5"/>
  </cols>
  <sheetData>
    <row r="1">
      <c r="A1" s="6" t="inlineStr">
        <is>
          <t>3 Picos de inflación</t>
        </is>
      </c>
    </row>
    <row r="2" ht="19" customHeight="1">
      <c r="A2" s="7" t="inlineStr">
        <is>
          <t>¿Cuáles fueron los meses de mayor inflación desde 2017?</t>
        </is>
      </c>
    </row>
    <row r="3" ht="49" customHeight="1">
      <c r="A3" s="8" t="inlineStr">
        <is>
          <t>Cómo se lee: top 10 de variación mensual del IPC nacional, con la interanual de ese mes y el puesto que ocupa también en el ranking de inflación interanual.</t>
        </is>
      </c>
    </row>
    <row r="5">
      <c r="A5" t="inlineStr">
        <is>
          <t>Puesto</t>
        </is>
      </c>
      <c r="B5" t="inlineStr">
        <is>
          <t>Mes</t>
        </is>
      </c>
      <c r="C5" t="inlineStr">
        <is>
          <t>Mensual %</t>
        </is>
      </c>
      <c r="D5" t="inlineStr">
        <is>
          <t>Interanual %</t>
        </is>
      </c>
      <c r="E5" t="inlineStr">
        <is>
          <t>Puesto interanual</t>
        </is>
      </c>
    </row>
    <row r="6">
      <c r="A6" t="n">
        <v>1</v>
      </c>
      <c r="B6" t="inlineStr">
        <is>
          <t>dic-2023</t>
        </is>
      </c>
      <c r="C6" s="9" t="n">
        <v>25.47</v>
      </c>
      <c r="D6" s="9" t="n">
        <v>211.41</v>
      </c>
      <c r="E6" t="n">
        <v>9</v>
      </c>
    </row>
    <row r="7">
      <c r="A7" t="n">
        <v>2</v>
      </c>
      <c r="B7" t="inlineStr">
        <is>
          <t>ene-2024</t>
        </is>
      </c>
      <c r="C7" s="9" t="n">
        <v>20.61</v>
      </c>
      <c r="D7" s="9" t="n">
        <v>254.25</v>
      </c>
      <c r="E7" t="n">
        <v>7</v>
      </c>
    </row>
    <row r="8">
      <c r="A8" t="n">
        <v>3</v>
      </c>
      <c r="B8" t="inlineStr">
        <is>
          <t>feb-2024</t>
        </is>
      </c>
      <c r="C8" s="9" t="n">
        <v>13.24</v>
      </c>
      <c r="D8" s="9" t="n">
        <v>276.22</v>
      </c>
      <c r="E8" t="n">
        <v>4</v>
      </c>
    </row>
    <row r="9">
      <c r="A9" t="n">
        <v>4</v>
      </c>
      <c r="B9" t="inlineStr">
        <is>
          <t>nov-2023</t>
        </is>
      </c>
      <c r="C9" s="9" t="n">
        <v>12.81</v>
      </c>
      <c r="D9" s="9" t="n">
        <v>160.92</v>
      </c>
      <c r="E9" t="n">
        <v>13</v>
      </c>
    </row>
    <row r="10">
      <c r="A10" t="n">
        <v>5</v>
      </c>
      <c r="B10" t="inlineStr">
        <is>
          <t>sep-2023</t>
        </is>
      </c>
      <c r="C10" s="9" t="n">
        <v>12.75</v>
      </c>
      <c r="D10" s="9" t="n">
        <v>138.28</v>
      </c>
      <c r="E10" t="n">
        <v>15</v>
      </c>
    </row>
    <row r="11">
      <c r="A11" t="n">
        <v>6</v>
      </c>
      <c r="B11" t="inlineStr">
        <is>
          <t>ago-2023</t>
        </is>
      </c>
      <c r="C11" s="9" t="n">
        <v>12.44</v>
      </c>
      <c r="D11" s="9" t="n">
        <v>124.37</v>
      </c>
      <c r="E11" t="n">
        <v>16</v>
      </c>
    </row>
    <row r="12">
      <c r="A12" t="n">
        <v>7</v>
      </c>
      <c r="B12" t="inlineStr">
        <is>
          <t>mar-2024</t>
        </is>
      </c>
      <c r="C12" s="9" t="n">
        <v>11.01</v>
      </c>
      <c r="D12" s="9" t="n">
        <v>287.87</v>
      </c>
      <c r="E12" t="n">
        <v>2</v>
      </c>
    </row>
    <row r="13">
      <c r="A13" t="n">
        <v>8</v>
      </c>
      <c r="B13" t="inlineStr">
        <is>
          <t>abr-2024</t>
        </is>
      </c>
      <c r="C13" s="9" t="n">
        <v>8.83</v>
      </c>
      <c r="D13" s="9" t="n">
        <v>289.4</v>
      </c>
      <c r="E13" t="n">
        <v>1</v>
      </c>
    </row>
    <row r="14">
      <c r="A14" t="n">
        <v>9</v>
      </c>
      <c r="B14" t="inlineStr">
        <is>
          <t>abr-2023</t>
        </is>
      </c>
      <c r="C14" s="9" t="n">
        <v>8.4</v>
      </c>
      <c r="D14" s="9" t="n">
        <v>108.83</v>
      </c>
      <c r="E14" t="n">
        <v>21</v>
      </c>
    </row>
    <row r="15">
      <c r="A15" t="n">
        <v>10</v>
      </c>
      <c r="B15" t="inlineStr">
        <is>
          <t>oct-2023</t>
        </is>
      </c>
      <c r="C15" s="9" t="n">
        <v>8.300000000000001</v>
      </c>
      <c r="D15" s="9" t="n">
        <v>142.66</v>
      </c>
      <c r="E15" t="n">
        <v>14</v>
      </c>
    </row>
    <row r="17">
      <c r="A17" s="10" t="inlineStr">
        <is>
          <t>← Volver al índice</t>
        </is>
      </c>
    </row>
  </sheetData>
  <mergeCells count="2">
    <mergeCell ref="A3:F3"/>
    <mergeCell ref="A2:F2"/>
  </mergeCells>
  <hyperlinks>
    <hyperlink ref="A17" location="'Leeme'!A1" display="← Volver al índice"/>
  </hyperlinks>
  <printOptions horizontalCentered="1"/>
  <pageMargins left="0.75" right="0.75" top="1" bottom="1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G1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7" customWidth="1" min="1" max="1"/>
    <col width="11" customWidth="1" min="2" max="2"/>
    <col width="18" customWidth="1" min="3" max="3"/>
    <col width="11" customWidth="1" min="4" max="4"/>
    <col width="14" customWidth="1" min="5" max="5"/>
    <col width="17" customWidth="1" min="6" max="6"/>
    <col width="26" customWidth="1" min="7" max="7"/>
  </cols>
  <sheetData>
    <row r="1">
      <c r="A1" s="6" t="inlineStr">
        <is>
          <t>4 Inflación por categoría</t>
        </is>
      </c>
    </row>
    <row r="2" ht="19" customHeight="1">
      <c r="A2" s="7" t="inlineStr">
        <is>
          <t>¿Cuánta inflación hubo cada año y qué la empujó: núcleo, regulados o estacionales?</t>
        </is>
      </c>
    </row>
    <row r="3" ht="49" customHeight="1">
      <c r="A3" s="8" t="inlineStr">
        <is>
          <t>Cómo se lee: variación diciembre contra diciembre (el último año: acumulada hasta el último mes). regulados - nucleo &gt; 0 indica que las tarifas y precios regulados subieron más que el resto.</t>
        </is>
      </c>
    </row>
    <row r="5">
      <c r="A5" t="inlineStr">
        <is>
          <t>Año</t>
        </is>
      </c>
      <c r="B5" t="inlineStr">
        <is>
          <t>Hasta</t>
        </is>
      </c>
      <c r="C5" t="inlineStr">
        <is>
          <t>Nivel general %</t>
        </is>
      </c>
      <c r="D5" t="inlineStr">
        <is>
          <t>Núcleo %</t>
        </is>
      </c>
      <c r="E5" t="inlineStr">
        <is>
          <t>Regulados %</t>
        </is>
      </c>
      <c r="F5" t="inlineStr">
        <is>
          <t>Estacionales %</t>
        </is>
      </c>
      <c r="G5" t="inlineStr">
        <is>
          <t>Regulados − núcleo (pp)</t>
        </is>
      </c>
    </row>
    <row r="6">
      <c r="A6" t="n">
        <v>2017</v>
      </c>
      <c r="B6" t="inlineStr">
        <is>
          <t>dic-2017</t>
        </is>
      </c>
      <c r="C6" s="9" t="n">
        <v>24.8</v>
      </c>
      <c r="D6" s="9" t="n">
        <v>21.13</v>
      </c>
      <c r="E6" s="9" t="n">
        <v>38.7</v>
      </c>
      <c r="F6" s="9" t="n">
        <v>21.46</v>
      </c>
      <c r="G6" s="9" t="n">
        <v>17.57</v>
      </c>
    </row>
    <row r="7">
      <c r="A7" t="n">
        <v>2018</v>
      </c>
      <c r="B7" t="inlineStr">
        <is>
          <t>dic-2018</t>
        </is>
      </c>
      <c r="C7" s="9" t="n">
        <v>47.65</v>
      </c>
      <c r="D7" s="9" t="n">
        <v>47.72</v>
      </c>
      <c r="E7" s="9" t="n">
        <v>53.46</v>
      </c>
      <c r="F7" s="9" t="n">
        <v>35.24</v>
      </c>
      <c r="G7" s="9" t="n">
        <v>5.74</v>
      </c>
    </row>
    <row r="8">
      <c r="A8" t="n">
        <v>2019</v>
      </c>
      <c r="B8" t="inlineStr">
        <is>
          <t>dic-2019</t>
        </is>
      </c>
      <c r="C8" s="9" t="n">
        <v>53.83</v>
      </c>
      <c r="D8" s="9" t="n">
        <v>56.66</v>
      </c>
      <c r="E8" s="9" t="n">
        <v>48.22</v>
      </c>
      <c r="F8" s="9" t="n">
        <v>48.95</v>
      </c>
      <c r="G8" s="9" t="n">
        <v>-8.43</v>
      </c>
    </row>
    <row r="9">
      <c r="A9" t="n">
        <v>2020</v>
      </c>
      <c r="B9" t="inlineStr">
        <is>
          <t>dic-2020</t>
        </is>
      </c>
      <c r="C9" s="9" t="n">
        <v>36.14</v>
      </c>
      <c r="D9" s="9" t="n">
        <v>39.4</v>
      </c>
      <c r="E9" s="9" t="n">
        <v>14.76</v>
      </c>
      <c r="F9" s="9" t="n">
        <v>64.39</v>
      </c>
      <c r="G9" s="9" t="n">
        <v>-24.64</v>
      </c>
    </row>
    <row r="10">
      <c r="A10" t="n">
        <v>2021</v>
      </c>
      <c r="B10" t="inlineStr">
        <is>
          <t>dic-2021</t>
        </is>
      </c>
      <c r="C10" s="9" t="n">
        <v>50.94</v>
      </c>
      <c r="D10" s="9" t="n">
        <v>54.87</v>
      </c>
      <c r="E10" s="9" t="n">
        <v>37.72</v>
      </c>
      <c r="F10" s="9" t="n">
        <v>50.08</v>
      </c>
      <c r="G10" s="9" t="n">
        <v>-17.15</v>
      </c>
    </row>
    <row r="11">
      <c r="A11" t="n">
        <v>2022</v>
      </c>
      <c r="B11" t="inlineStr">
        <is>
          <t>dic-2022</t>
        </is>
      </c>
      <c r="C11" s="9" t="n">
        <v>94.79000000000001</v>
      </c>
      <c r="D11" s="9" t="n">
        <v>90.62</v>
      </c>
      <c r="E11" s="9" t="n">
        <v>85.67</v>
      </c>
      <c r="F11" s="9" t="n">
        <v>134.12</v>
      </c>
      <c r="G11" s="9" t="n">
        <v>-4.95</v>
      </c>
    </row>
    <row r="12">
      <c r="A12" t="n">
        <v>2023</v>
      </c>
      <c r="B12" t="inlineStr">
        <is>
          <t>dic-2023</t>
        </is>
      </c>
      <c r="C12" s="9" t="n">
        <v>211.41</v>
      </c>
      <c r="D12" s="9" t="n">
        <v>229.41</v>
      </c>
      <c r="E12" s="9" t="n">
        <v>164.94</v>
      </c>
      <c r="F12" s="9" t="n">
        <v>178.98</v>
      </c>
      <c r="G12" s="9" t="n">
        <v>-64.45999999999999</v>
      </c>
    </row>
    <row r="13">
      <c r="A13" t="n">
        <v>2024</v>
      </c>
      <c r="B13" t="inlineStr">
        <is>
          <t>dic-2024</t>
        </is>
      </c>
      <c r="C13" s="9" t="n">
        <v>117.76</v>
      </c>
      <c r="D13" s="9" t="n">
        <v>105.5</v>
      </c>
      <c r="E13" s="9" t="n">
        <v>205.88</v>
      </c>
      <c r="F13" s="9" t="n">
        <v>87.31999999999999</v>
      </c>
      <c r="G13" s="9" t="n">
        <v>100.38</v>
      </c>
    </row>
    <row r="14">
      <c r="A14" t="n">
        <v>2025</v>
      </c>
      <c r="B14" t="inlineStr">
        <is>
          <t>dic-2025</t>
        </is>
      </c>
      <c r="C14" s="9" t="n">
        <v>31.55</v>
      </c>
      <c r="D14" s="9" t="n">
        <v>33.09</v>
      </c>
      <c r="E14" s="9" t="n">
        <v>34.21</v>
      </c>
      <c r="F14" s="9" t="n">
        <v>16.95</v>
      </c>
      <c r="G14" s="9" t="n">
        <v>1.12</v>
      </c>
    </row>
    <row r="15">
      <c r="A15" t="n">
        <v>2026</v>
      </c>
      <c r="B15" t="inlineStr">
        <is>
          <t>sep-2026</t>
        </is>
      </c>
      <c r="C15" s="9" t="n">
        <v>23.64</v>
      </c>
      <c r="D15" s="9" t="n">
        <v>21.77</v>
      </c>
      <c r="E15" s="9" t="n">
        <v>31.47</v>
      </c>
      <c r="F15" s="9" t="n">
        <v>20.29</v>
      </c>
      <c r="G15" s="9" t="n">
        <v>9.710000000000001</v>
      </c>
    </row>
    <row r="17">
      <c r="A17" s="10" t="inlineStr">
        <is>
          <t>← Volver al índice</t>
        </is>
      </c>
    </row>
  </sheetData>
  <mergeCells count="2">
    <mergeCell ref="A3:G3"/>
    <mergeCell ref="A2:G2"/>
  </mergeCells>
  <hyperlinks>
    <hyperlink ref="A17" location="'Leeme'!A1" display="← Volver al índice"/>
  </hyperlinks>
  <printOptions horizontalCentered="1"/>
  <pageMargins left="0.75" right="0.75" top="1" bottom="1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I19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9" customWidth="1" min="1" max="1"/>
    <col width="45" customWidth="1" min="2" max="2"/>
    <col width="11" customWidth="1" min="3" max="3"/>
    <col width="8" customWidth="1" min="4" max="4"/>
    <col width="29" customWidth="1" min="5" max="5"/>
    <col width="22" customWidth="1" min="6" max="6"/>
    <col width="20" customWidth="1" min="7" max="7"/>
    <col width="15" customWidth="1" min="8" max="8"/>
    <col width="19" customWidth="1" min="9" max="9"/>
  </cols>
  <sheetData>
    <row r="1">
      <c r="A1" s="6" t="inlineStr">
        <is>
          <t>5 Rubros</t>
        </is>
      </c>
    </row>
    <row r="2" ht="19" customHeight="1">
      <c r="A2" s="7" t="inlineStr">
        <is>
          <t>¿Qué rubros del IPC subieron más y cuáles menos?</t>
        </is>
      </c>
    </row>
    <row r="3" ht="49" customHeight="1">
      <c r="A3" s="8" t="inlineStr">
        <is>
          <t>Cómo se lee: acumulado_desde_dic2016_pct = cuánto subió cada rubro desde la base; veces = cuántas veces se multiplicó el precio (índice / 100). ultimo_anio_pct = variación interanual del último mes. acumulado_vs_general_pct = cuánto más caro (o más barato) quedó el rubro que el nivel general, en % (cociente de índices); ultimo_anio_vs_general_pp = interanual del rubro menos la del nivel general, en puntos porcentuales. Positivo = el rubro se encareció más que el promedio.</t>
        </is>
      </c>
    </row>
    <row r="5">
      <c r="A5" t="inlineStr">
        <is>
          <t>Puesto</t>
        </is>
      </c>
      <c r="B5" t="inlineStr">
        <is>
          <t>Rubro</t>
        </is>
      </c>
      <c r="C5" t="inlineStr">
        <is>
          <t>Hasta</t>
        </is>
      </c>
      <c r="D5" t="inlineStr">
        <is>
          <t>Veces</t>
        </is>
      </c>
      <c r="E5" t="inlineStr">
        <is>
          <t>Acumulado desde dic-2016 %</t>
        </is>
      </c>
      <c r="F5" t="inlineStr">
        <is>
          <t>Vs. nivel general %</t>
        </is>
      </c>
      <c r="G5" t="inlineStr">
        <is>
          <t>Puesto último año</t>
        </is>
      </c>
      <c r="H5" t="inlineStr">
        <is>
          <t>Último año %</t>
        </is>
      </c>
      <c r="I5" t="inlineStr">
        <is>
          <t>Vs. general (pp)</t>
        </is>
      </c>
    </row>
    <row r="6">
      <c r="A6" t="n">
        <v>1</v>
      </c>
      <c r="B6" t="inlineStr">
        <is>
          <t>Restaurantes y hoteles</t>
        </is>
      </c>
      <c r="C6" t="inlineStr">
        <is>
          <t>sep-2026</t>
        </is>
      </c>
      <c r="D6" s="9" t="n">
        <v>153.6</v>
      </c>
      <c r="E6" s="9" t="n">
        <v>15256.6</v>
      </c>
      <c r="F6" s="9" t="n">
        <v>22.7</v>
      </c>
      <c r="G6" t="n">
        <v>6</v>
      </c>
      <c r="H6" s="9" t="n">
        <v>34.56</v>
      </c>
      <c r="I6" s="9" t="n">
        <v>1.21</v>
      </c>
    </row>
    <row r="7">
      <c r="A7" t="n">
        <v>2</v>
      </c>
      <c r="B7" t="inlineStr">
        <is>
          <t>Vivienda, agua, electricidad y combustibles</t>
        </is>
      </c>
      <c r="C7" t="inlineStr">
        <is>
          <t>sep-2026</t>
        </is>
      </c>
      <c r="D7" s="9" t="n">
        <v>143.2</v>
      </c>
      <c r="E7" s="9" t="n">
        <v>14221.9</v>
      </c>
      <c r="F7" s="9" t="n">
        <v>14.4</v>
      </c>
      <c r="G7" t="n">
        <v>1</v>
      </c>
      <c r="H7" s="9" t="n">
        <v>49.1</v>
      </c>
      <c r="I7" s="9" t="n">
        <v>15.74</v>
      </c>
    </row>
    <row r="8">
      <c r="A8" t="n">
        <v>3</v>
      </c>
      <c r="B8" t="inlineStr">
        <is>
          <t>Salud</t>
        </is>
      </c>
      <c r="C8" t="inlineStr">
        <is>
          <t>sep-2026</t>
        </is>
      </c>
      <c r="D8" s="9" t="n">
        <v>141.9</v>
      </c>
      <c r="E8" s="9" t="n">
        <v>14093</v>
      </c>
      <c r="F8" s="9" t="n">
        <v>13.4</v>
      </c>
      <c r="G8" t="n">
        <v>7</v>
      </c>
      <c r="H8" s="9" t="n">
        <v>33.29</v>
      </c>
      <c r="I8" s="9" t="n">
        <v>-0.06</v>
      </c>
    </row>
    <row r="9">
      <c r="A9" t="n">
        <v>4</v>
      </c>
      <c r="B9" t="inlineStr">
        <is>
          <t>Alimentos y bebidas no alcohólicas</t>
        </is>
      </c>
      <c r="C9" t="inlineStr">
        <is>
          <t>sep-2026</t>
        </is>
      </c>
      <c r="D9" s="9" t="n">
        <v>133.8</v>
      </c>
      <c r="E9" s="9" t="n">
        <v>13284.2</v>
      </c>
      <c r="F9" s="9" t="n">
        <v>7</v>
      </c>
      <c r="G9" t="n">
        <v>5</v>
      </c>
      <c r="H9" s="9" t="n">
        <v>35.06</v>
      </c>
      <c r="I9" s="9" t="n">
        <v>1.7</v>
      </c>
    </row>
    <row r="10">
      <c r="A10" t="n">
        <v>5</v>
      </c>
      <c r="B10" t="inlineStr">
        <is>
          <t>Transporte</t>
        </is>
      </c>
      <c r="C10" t="inlineStr">
        <is>
          <t>sep-2026</t>
        </is>
      </c>
      <c r="D10" s="9" t="n">
        <v>131.6</v>
      </c>
      <c r="E10" s="9" t="n">
        <v>13063.2</v>
      </c>
      <c r="F10" s="9" t="n">
        <v>5.2</v>
      </c>
      <c r="G10" t="n">
        <v>4</v>
      </c>
      <c r="H10" s="9" t="n">
        <v>36.22</v>
      </c>
      <c r="I10" s="9" t="n">
        <v>2.87</v>
      </c>
    </row>
    <row r="11">
      <c r="A11" t="n">
        <v>6</v>
      </c>
      <c r="B11" t="inlineStr">
        <is>
          <t>Bienes y servicios varios</t>
        </is>
      </c>
      <c r="C11" t="inlineStr">
        <is>
          <t>sep-2026</t>
        </is>
      </c>
      <c r="D11" s="9" t="n">
        <v>121.4</v>
      </c>
      <c r="E11" s="9" t="n">
        <v>12038.4</v>
      </c>
      <c r="F11" s="9" t="n">
        <v>-3</v>
      </c>
      <c r="G11" t="n">
        <v>8</v>
      </c>
      <c r="H11" s="9" t="n">
        <v>32.48</v>
      </c>
      <c r="I11" s="9" t="n">
        <v>-0.87</v>
      </c>
    </row>
    <row r="12">
      <c r="A12" t="n">
        <v>7</v>
      </c>
      <c r="B12" t="inlineStr">
        <is>
          <t>Educación</t>
        </is>
      </c>
      <c r="C12" t="inlineStr">
        <is>
          <t>sep-2026</t>
        </is>
      </c>
      <c r="D12" s="9" t="n">
        <v>118.6</v>
      </c>
      <c r="E12" s="9" t="n">
        <v>11764.2</v>
      </c>
      <c r="F12" s="9" t="n">
        <v>-5.2</v>
      </c>
      <c r="G12" t="n">
        <v>2</v>
      </c>
      <c r="H12" s="9" t="n">
        <v>39.86</v>
      </c>
      <c r="I12" s="9" t="n">
        <v>6.5</v>
      </c>
    </row>
    <row r="13">
      <c r="A13" t="n">
        <v>8</v>
      </c>
      <c r="B13" t="inlineStr">
        <is>
          <t>Comunicación</t>
        </is>
      </c>
      <c r="C13" t="inlineStr">
        <is>
          <t>sep-2026</t>
        </is>
      </c>
      <c r="D13" s="9" t="n">
        <v>117.4</v>
      </c>
      <c r="E13" s="9" t="n">
        <v>11636.6</v>
      </c>
      <c r="F13" s="9" t="n">
        <v>-6.2</v>
      </c>
      <c r="G13" t="n">
        <v>3</v>
      </c>
      <c r="H13" s="9" t="n">
        <v>37.27</v>
      </c>
      <c r="I13" s="9" t="n">
        <v>3.91</v>
      </c>
    </row>
    <row r="14">
      <c r="A14" t="n">
        <v>9</v>
      </c>
      <c r="B14" t="inlineStr">
        <is>
          <t>Recreación y cultura</t>
        </is>
      </c>
      <c r="C14" t="inlineStr">
        <is>
          <t>sep-2026</t>
        </is>
      </c>
      <c r="D14" s="9" t="n">
        <v>112.9</v>
      </c>
      <c r="E14" s="9" t="n">
        <v>11190.2</v>
      </c>
      <c r="F14" s="9" t="n">
        <v>-9.800000000000001</v>
      </c>
      <c r="G14" t="n">
        <v>9</v>
      </c>
      <c r="H14" s="9" t="n">
        <v>32.17</v>
      </c>
      <c r="I14" s="9" t="n">
        <v>-1.19</v>
      </c>
    </row>
    <row r="15">
      <c r="A15" t="n">
        <v>10</v>
      </c>
      <c r="B15" t="inlineStr">
        <is>
          <t>Equipamiento y mantenimiento del hogar</t>
        </is>
      </c>
      <c r="C15" t="inlineStr">
        <is>
          <t>sep-2026</t>
        </is>
      </c>
      <c r="D15" s="9" t="n">
        <v>99.59999999999999</v>
      </c>
      <c r="E15" s="9" t="n">
        <v>9855.200000000001</v>
      </c>
      <c r="F15" s="9" t="n">
        <v>-20.4</v>
      </c>
      <c r="G15" t="n">
        <v>10</v>
      </c>
      <c r="H15" s="9" t="n">
        <v>23.69</v>
      </c>
      <c r="I15" s="9" t="n">
        <v>-9.67</v>
      </c>
    </row>
    <row r="16">
      <c r="A16" t="n">
        <v>11</v>
      </c>
      <c r="B16" t="inlineStr">
        <is>
          <t>Bebidas alcohólicas y tabaco</t>
        </is>
      </c>
      <c r="C16" t="inlineStr">
        <is>
          <t>sep-2026</t>
        </is>
      </c>
      <c r="D16" s="9" t="n">
        <v>86.2</v>
      </c>
      <c r="E16" s="9" t="n">
        <v>8522.1</v>
      </c>
      <c r="F16" s="9" t="n">
        <v>-31.1</v>
      </c>
      <c r="G16" t="n">
        <v>11</v>
      </c>
      <c r="H16" s="9" t="n">
        <v>22.44</v>
      </c>
      <c r="I16" s="9" t="n">
        <v>-10.92</v>
      </c>
    </row>
    <row r="17">
      <c r="A17" t="n">
        <v>12</v>
      </c>
      <c r="B17" t="inlineStr">
        <is>
          <t>Prendas de vestir y calzado</t>
        </is>
      </c>
      <c r="C17" t="inlineStr">
        <is>
          <t>sep-2026</t>
        </is>
      </c>
      <c r="D17" s="9" t="n">
        <v>83.3</v>
      </c>
      <c r="E17" s="9" t="n">
        <v>8232.299999999999</v>
      </c>
      <c r="F17" s="9" t="n">
        <v>-33.4</v>
      </c>
      <c r="G17" t="n">
        <v>12</v>
      </c>
      <c r="H17" s="9" t="n">
        <v>10.31</v>
      </c>
      <c r="I17" s="9" t="n">
        <v>-23.05</v>
      </c>
    </row>
    <row r="19">
      <c r="A19" s="10" t="inlineStr">
        <is>
          <t>← Volver al índice</t>
        </is>
      </c>
    </row>
  </sheetData>
  <mergeCells count="2">
    <mergeCell ref="A3:I3"/>
    <mergeCell ref="A2:I2"/>
  </mergeCells>
  <hyperlinks>
    <hyperlink ref="A19" location="'Leeme'!A1" display="← Volver al índice"/>
  </hyperlinks>
  <printOptions horizontalCentered="1"/>
  <pageMargins left="0.75" right="0.75" top="1" bottom="1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F1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  <col width="16" customWidth="1" min="3" max="3"/>
    <col width="25" customWidth="1" min="4" max="4"/>
    <col width="28" customWidth="1" min="5" max="5"/>
  </cols>
  <sheetData>
    <row r="1">
      <c r="A1" s="6" t="inlineStr">
        <is>
          <t>6 Canastas</t>
        </is>
      </c>
    </row>
    <row r="2" ht="34" customHeight="1">
      <c r="A2" s="7" t="inlineStr">
        <is>
          <t>¿Cuántas Canastas Básicas Totales compran el salario promedio (RIPTE), el salario mínimo y la jubilación mínima?</t>
        </is>
      </c>
    </row>
    <row r="3" ht="49" customHeight="1">
      <c r="A3" s="8" t="inlineStr">
        <is>
          <t>Cómo se lee: CBT de un adulto equivalente en GBA. Menos de 1 = ese ingreso no alcanza para que una sola persona adulta supere la línea de pobreza. Un punto por año (diciembre) más el último mes con todas las series.</t>
        </is>
      </c>
    </row>
    <row r="5">
      <c r="A5" t="inlineStr">
        <is>
          <t>Mes</t>
        </is>
      </c>
      <c r="B5" t="inlineStr">
        <is>
          <t>CBT ($)</t>
        </is>
      </c>
      <c r="C5" t="inlineStr">
        <is>
          <t>CBT por RIPTE</t>
        </is>
      </c>
      <c r="D5" t="inlineStr">
        <is>
          <t>CBT por salario mínimo</t>
        </is>
      </c>
      <c r="E5" t="inlineStr">
        <is>
          <t>CBT por jubilación mínima</t>
        </is>
      </c>
    </row>
    <row r="6">
      <c r="A6" t="inlineStr">
        <is>
          <t>dic-2016</t>
        </is>
      </c>
      <c r="B6" s="9" t="n">
        <v>4257.55</v>
      </c>
      <c r="C6" s="9" t="n">
        <v>4.86</v>
      </c>
      <c r="D6" s="9" t="n">
        <v>1.78</v>
      </c>
      <c r="E6" s="9" t="n">
        <v>1.33</v>
      </c>
    </row>
    <row r="7">
      <c r="A7" t="inlineStr">
        <is>
          <t>dic-2017</t>
        </is>
      </c>
      <c r="B7" s="9" t="n">
        <v>5397.23</v>
      </c>
      <c r="C7" s="9" t="n">
        <v>4.87</v>
      </c>
      <c r="D7" s="9" t="n">
        <v>1.64</v>
      </c>
      <c r="E7" s="9" t="n">
        <v>1.34</v>
      </c>
    </row>
    <row r="8">
      <c r="A8" t="inlineStr">
        <is>
          <t>dic-2018</t>
        </is>
      </c>
      <c r="B8" s="9" t="n">
        <v>8250.42</v>
      </c>
      <c r="C8" s="9" t="n">
        <v>4.16</v>
      </c>
      <c r="D8" s="9" t="n">
        <v>1.37</v>
      </c>
      <c r="E8" s="9" t="n">
        <v>1.13</v>
      </c>
    </row>
    <row r="9">
      <c r="A9" t="inlineStr">
        <is>
          <t>dic-2019</t>
        </is>
      </c>
      <c r="B9" s="9" t="n">
        <v>12608.52</v>
      </c>
      <c r="C9" s="9" t="n">
        <v>3.93</v>
      </c>
      <c r="D9" s="9" t="n">
        <v>1.34</v>
      </c>
      <c r="E9" s="9" t="n">
        <v>1.12</v>
      </c>
    </row>
    <row r="10">
      <c r="A10" t="inlineStr">
        <is>
          <t>dic-2020</t>
        </is>
      </c>
      <c r="B10" s="9" t="n">
        <v>17542.89</v>
      </c>
      <c r="C10" s="9" t="n">
        <v>3.81</v>
      </c>
      <c r="D10" s="9" t="n">
        <v>1.17</v>
      </c>
      <c r="E10" s="9" t="n">
        <v>1.09</v>
      </c>
    </row>
    <row r="11">
      <c r="A11" t="inlineStr">
        <is>
          <t>dic-2021</t>
        </is>
      </c>
      <c r="B11" s="9" t="n">
        <v>24642.76</v>
      </c>
      <c r="C11" s="9" t="n">
        <v>4.16</v>
      </c>
      <c r="D11" s="9" t="n">
        <v>1.3</v>
      </c>
      <c r="E11" s="9" t="n">
        <v>1.18</v>
      </c>
    </row>
    <row r="12">
      <c r="A12" t="inlineStr">
        <is>
          <t>dic-2022</t>
        </is>
      </c>
      <c r="B12" s="9" t="n">
        <v>49357.7</v>
      </c>
      <c r="C12" s="9" t="n">
        <v>3.93</v>
      </c>
      <c r="D12" s="9" t="n">
        <v>1.26</v>
      </c>
      <c r="E12" s="9" t="n">
        <v>1.02</v>
      </c>
    </row>
    <row r="13">
      <c r="A13" t="inlineStr">
        <is>
          <t>dic-2023</t>
        </is>
      </c>
      <c r="B13" s="9" t="n">
        <v>160452.53</v>
      </c>
      <c r="C13" s="9" t="n">
        <v>3.02</v>
      </c>
      <c r="D13" s="9" t="n">
        <v>0.97</v>
      </c>
      <c r="E13" s="9" t="n">
        <v>0.66</v>
      </c>
    </row>
    <row r="14">
      <c r="A14" t="inlineStr">
        <is>
          <t>dic-2024</t>
        </is>
      </c>
      <c r="B14" s="9" t="n">
        <v>331532.43</v>
      </c>
      <c r="C14" s="9" t="n">
        <v>3.63</v>
      </c>
      <c r="D14" s="9" t="n">
        <v>0.84</v>
      </c>
      <c r="E14" s="9" t="n">
        <v>0.78</v>
      </c>
    </row>
    <row r="15">
      <c r="A15" t="inlineStr">
        <is>
          <t>dic-2025</t>
        </is>
      </c>
      <c r="B15" s="9" t="n">
        <v>423531.8</v>
      </c>
      <c r="C15" s="9" t="n">
        <v>3.86</v>
      </c>
      <c r="D15" s="9" t="n">
        <v>0.79</v>
      </c>
      <c r="E15" s="9" t="n">
        <v>0.8</v>
      </c>
    </row>
    <row r="16">
      <c r="A16" t="inlineStr">
        <is>
          <t>jul-2026</t>
        </is>
      </c>
      <c r="B16" s="9" t="n">
        <v>506380.55</v>
      </c>
      <c r="C16" s="9" t="n">
        <v>3.84</v>
      </c>
      <c r="D16" s="9" t="n">
        <v>0.74</v>
      </c>
      <c r="E16" s="9" t="n">
        <v>0.8100000000000001</v>
      </c>
    </row>
    <row r="18">
      <c r="A18" s="10" t="inlineStr">
        <is>
          <t>← Volver al índice</t>
        </is>
      </c>
    </row>
  </sheetData>
  <mergeCells count="2">
    <mergeCell ref="A3:F3"/>
    <mergeCell ref="A2:F2"/>
  </mergeCells>
  <hyperlinks>
    <hyperlink ref="A18" location="'Leeme'!A1" display="← Volver al índice"/>
  </hyperlinks>
  <printOptions horizontalCentered="1"/>
  <pageMargins left="0.75" right="0.75" top="1" bottom="1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G14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7" customWidth="1" min="1" max="1"/>
    <col width="11" customWidth="1" min="2" max="2"/>
    <col width="29" customWidth="1" min="3" max="3"/>
    <col width="9" customWidth="1" min="4" max="4"/>
    <col width="15" customWidth="1" min="5" max="5"/>
    <col width="20" customWidth="1" min="6" max="6"/>
    <col width="16" customWidth="1" min="7" max="7"/>
  </cols>
  <sheetData>
    <row r="1">
      <c r="A1" s="6" t="inlineStr">
        <is>
          <t>7 Regiones</t>
        </is>
      </c>
    </row>
    <row r="2" ht="19" customHeight="1">
      <c r="A2" s="7" t="inlineStr">
        <is>
          <t>¿En qué región del país subieron más los precios?</t>
        </is>
      </c>
    </row>
    <row r="3" ht="34" customHeight="1">
      <c r="A3" s="8" t="inlineStr">
        <is>
          <t>Cómo se lee: acumulado desde dic-2016 e interanual del último mes por región, con su puesto. diferencia_vs_pais_pp = puntos porcentuales por encima (+) o debajo (-) del total país.</t>
        </is>
      </c>
    </row>
    <row r="5">
      <c r="A5" t="inlineStr">
        <is>
          <t>Serie</t>
        </is>
      </c>
      <c r="B5" t="inlineStr">
        <is>
          <t>Hasta</t>
        </is>
      </c>
      <c r="C5" t="inlineStr">
        <is>
          <t>Acumulado desde dic-2016 %</t>
        </is>
      </c>
      <c r="D5" t="inlineStr">
        <is>
          <t>Puesto</t>
        </is>
      </c>
      <c r="E5" t="inlineStr">
        <is>
          <t>Interanual %</t>
        </is>
      </c>
      <c r="F5" t="inlineStr">
        <is>
          <t>Puesto interanual</t>
        </is>
      </c>
      <c r="G5" t="inlineStr">
        <is>
          <t>Vs. país (pp)</t>
        </is>
      </c>
    </row>
    <row r="6">
      <c r="A6" t="inlineStr">
        <is>
          <t>IPC nivel general – Total país</t>
        </is>
      </c>
      <c r="B6" t="inlineStr">
        <is>
          <t>sep-2026</t>
        </is>
      </c>
      <c r="C6" s="9" t="n">
        <v>12414.2</v>
      </c>
      <c r="D6" t="n">
        <v>5</v>
      </c>
      <c r="E6" s="9" t="n">
        <v>33.35</v>
      </c>
      <c r="F6" t="n">
        <v>4</v>
      </c>
      <c r="G6" s="9" t="n">
        <v>0</v>
      </c>
    </row>
    <row r="7">
      <c r="A7" t="inlineStr">
        <is>
          <t>IPC nivel general – Noroeste (NOA)</t>
        </is>
      </c>
      <c r="B7" t="inlineStr">
        <is>
          <t>sep-2026</t>
        </is>
      </c>
      <c r="C7" s="9" t="n">
        <v>12531.5</v>
      </c>
      <c r="D7" t="n">
        <v>1</v>
      </c>
      <c r="E7" s="9" t="n">
        <v>33.59</v>
      </c>
      <c r="F7" t="n">
        <v>2</v>
      </c>
      <c r="G7" s="9" t="n">
        <v>0.23</v>
      </c>
    </row>
    <row r="8">
      <c r="A8" t="inlineStr">
        <is>
          <t>IPC nivel general – Noreste (NEA)</t>
        </is>
      </c>
      <c r="B8" t="inlineStr">
        <is>
          <t>sep-2026</t>
        </is>
      </c>
      <c r="C8" s="9" t="n">
        <v>12515.4</v>
      </c>
      <c r="D8" t="n">
        <v>2</v>
      </c>
      <c r="E8" s="9" t="n">
        <v>36.86</v>
      </c>
      <c r="F8" t="n">
        <v>1</v>
      </c>
      <c r="G8" s="9" t="n">
        <v>3.51</v>
      </c>
    </row>
    <row r="9">
      <c r="A9" t="inlineStr">
        <is>
          <t>IPC nivel general – Cuyo</t>
        </is>
      </c>
      <c r="B9" t="inlineStr">
        <is>
          <t>sep-2026</t>
        </is>
      </c>
      <c r="C9" s="9" t="n">
        <v>12491.9</v>
      </c>
      <c r="D9" t="n">
        <v>3</v>
      </c>
      <c r="E9" s="9" t="n">
        <v>33.03</v>
      </c>
      <c r="F9" t="n">
        <v>6</v>
      </c>
      <c r="G9" s="9" t="n">
        <v>-0.33</v>
      </c>
    </row>
    <row r="10">
      <c r="A10" t="inlineStr">
        <is>
          <t>IPC nivel general – GBA</t>
        </is>
      </c>
      <c r="B10" t="inlineStr">
        <is>
          <t>sep-2026</t>
        </is>
      </c>
      <c r="C10" s="9" t="n">
        <v>12423.2</v>
      </c>
      <c r="D10" t="n">
        <v>4</v>
      </c>
      <c r="E10" s="9" t="n">
        <v>33.54</v>
      </c>
      <c r="F10" t="n">
        <v>3</v>
      </c>
      <c r="G10" s="9" t="n">
        <v>0.19</v>
      </c>
    </row>
    <row r="11">
      <c r="A11" t="inlineStr">
        <is>
          <t>IPC nivel general – Pampeana</t>
        </is>
      </c>
      <c r="B11" t="inlineStr">
        <is>
          <t>sep-2026</t>
        </is>
      </c>
      <c r="C11" s="9" t="n">
        <v>12363.8</v>
      </c>
      <c r="D11" t="n">
        <v>6</v>
      </c>
      <c r="E11" s="9" t="n">
        <v>33.06</v>
      </c>
      <c r="F11" t="n">
        <v>5</v>
      </c>
      <c r="G11" s="9" t="n">
        <v>-0.29</v>
      </c>
    </row>
    <row r="12">
      <c r="A12" t="inlineStr">
        <is>
          <t>IPC nivel general – Patagonia</t>
        </is>
      </c>
      <c r="B12" t="inlineStr">
        <is>
          <t>sep-2026</t>
        </is>
      </c>
      <c r="C12" s="9" t="n">
        <v>12334.5</v>
      </c>
      <c r="D12" t="n">
        <v>7</v>
      </c>
      <c r="E12" s="9" t="n">
        <v>30.29</v>
      </c>
      <c r="F12" t="n">
        <v>7</v>
      </c>
      <c r="G12" s="9" t="n">
        <v>-3.06</v>
      </c>
    </row>
    <row r="14">
      <c r="A14" s="10" t="inlineStr">
        <is>
          <t>← Volver al índice</t>
        </is>
      </c>
    </row>
  </sheetData>
  <mergeCells count="2">
    <mergeCell ref="A3:G3"/>
    <mergeCell ref="A2:G2"/>
  </mergeCells>
  <hyperlinks>
    <hyperlink ref="A14" location="'Leeme'!A1" display="← Volver al índice"/>
  </hyperlinks>
  <printOptions horizontalCentered="1"/>
  <pageMargins left="0.75" right="0.75" top="1" bottom="1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F1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7" customWidth="1" min="1" max="1"/>
    <col width="8" customWidth="1" min="2" max="2"/>
    <col width="14" customWidth="1" min="3" max="3"/>
    <col width="23" customWidth="1" min="4" max="4"/>
    <col width="26" customWidth="1" min="5" max="5"/>
    <col width="25" customWidth="1" min="6" max="6"/>
  </cols>
  <sheetData>
    <row r="1">
      <c r="A1" s="6" t="inlineStr">
        <is>
          <t>8 Salario en USD</t>
        </is>
      </c>
    </row>
    <row r="2" ht="19" customHeight="1">
      <c r="A2" s="7" t="inlineStr">
        <is>
          <t>¿Cuánto vale el salario en dólares oficiales y cómo cambió?</t>
        </is>
      </c>
    </row>
    <row r="3" ht="49" customHeight="1">
      <c r="A3" s="8" t="inlineStr">
        <is>
          <t>Cómo se lee: promedio anual del RIPTE, del salario mínimo y de la jubilación mínima divididos por el tipo de cambio oficial de valuación del BCRA de cada mes. El año en curso promedia solo los meses disponibles (columna meses).</t>
        </is>
      </c>
    </row>
    <row r="5">
      <c r="A5" t="inlineStr">
        <is>
          <t>Año</t>
        </is>
      </c>
      <c r="B5" t="inlineStr">
        <is>
          <t>Meses</t>
        </is>
      </c>
      <c r="C5" t="inlineStr">
        <is>
          <t>RIPTE (US$)</t>
        </is>
      </c>
      <c r="D5" t="inlineStr">
        <is>
          <t>Salario mínimo (US$)</t>
        </is>
      </c>
      <c r="E5" t="inlineStr">
        <is>
          <t>Jubilación mínima (US$)</t>
        </is>
      </c>
      <c r="F5" t="inlineStr">
        <is>
          <t>Tipo de cambio ($/US$)</t>
        </is>
      </c>
    </row>
    <row r="6">
      <c r="A6" t="n">
        <v>2017</v>
      </c>
      <c r="B6" t="n">
        <v>12</v>
      </c>
      <c r="C6" s="9" t="n">
        <v>1442</v>
      </c>
      <c r="D6" s="9" t="n">
        <v>511</v>
      </c>
      <c r="E6" s="9" t="n">
        <v>396</v>
      </c>
      <c r="F6" s="9" t="n">
        <v>16.55</v>
      </c>
    </row>
    <row r="7">
      <c r="A7" t="n">
        <v>2018</v>
      </c>
      <c r="B7" t="n">
        <v>12</v>
      </c>
      <c r="C7" s="9" t="n">
        <v>1137</v>
      </c>
      <c r="D7" s="9" t="n">
        <v>378</v>
      </c>
      <c r="E7" s="9" t="n">
        <v>303</v>
      </c>
      <c r="F7" s="9" t="n">
        <v>28.08</v>
      </c>
    </row>
    <row r="8">
      <c r="A8" t="n">
        <v>2019</v>
      </c>
      <c r="B8" t="n">
        <v>12</v>
      </c>
      <c r="C8" s="9" t="n">
        <v>896</v>
      </c>
      <c r="D8" s="9" t="n">
        <v>287</v>
      </c>
      <c r="E8" s="9" t="n">
        <v>239</v>
      </c>
      <c r="F8" s="9" t="n">
        <v>48.19</v>
      </c>
    </row>
    <row r="9">
      <c r="A9" t="n">
        <v>2020</v>
      </c>
      <c r="B9" t="n">
        <v>12</v>
      </c>
      <c r="C9" s="9" t="n">
        <v>851</v>
      </c>
      <c r="D9" s="9" t="n">
        <v>249</v>
      </c>
      <c r="E9" s="9" t="n">
        <v>236</v>
      </c>
      <c r="F9" s="9" t="n">
        <v>70.62</v>
      </c>
    </row>
    <row r="10">
      <c r="A10" t="n">
        <v>2021</v>
      </c>
      <c r="B10" t="n">
        <v>12</v>
      </c>
      <c r="C10" s="9" t="n">
        <v>905</v>
      </c>
      <c r="D10" s="9" t="n">
        <v>278</v>
      </c>
      <c r="E10" s="9" t="n">
        <v>241</v>
      </c>
      <c r="F10" s="9" t="n">
        <v>95.06999999999999</v>
      </c>
    </row>
    <row r="11">
      <c r="A11" t="n">
        <v>2022</v>
      </c>
      <c r="B11" t="n">
        <v>12</v>
      </c>
      <c r="C11" s="9" t="n">
        <v>1125</v>
      </c>
      <c r="D11" s="9" t="n">
        <v>342</v>
      </c>
      <c r="E11" s="9" t="n">
        <v>287</v>
      </c>
      <c r="F11" s="9" t="n">
        <v>130.54</v>
      </c>
    </row>
    <row r="12">
      <c r="A12" t="n">
        <v>2023</v>
      </c>
      <c r="B12" t="n">
        <v>12</v>
      </c>
      <c r="C12" s="9" t="n">
        <v>1140</v>
      </c>
      <c r="D12" s="9" t="n">
        <v>356</v>
      </c>
      <c r="E12" s="9" t="n">
        <v>253</v>
      </c>
      <c r="F12" s="9" t="n">
        <v>295.6</v>
      </c>
    </row>
    <row r="13">
      <c r="A13" t="n">
        <v>2024</v>
      </c>
      <c r="B13" t="n">
        <v>12</v>
      </c>
      <c r="C13" s="9" t="n">
        <v>1003</v>
      </c>
      <c r="D13" s="9" t="n">
        <v>256</v>
      </c>
      <c r="E13" s="9" t="n">
        <v>211</v>
      </c>
      <c r="F13" s="9" t="n">
        <v>916.15</v>
      </c>
    </row>
    <row r="14">
      <c r="A14" t="n">
        <v>2025</v>
      </c>
      <c r="B14" t="n">
        <v>12</v>
      </c>
      <c r="C14" s="9" t="n">
        <v>1187</v>
      </c>
      <c r="D14" s="9" t="n">
        <v>253</v>
      </c>
      <c r="E14" s="9" t="n">
        <v>246</v>
      </c>
      <c r="F14" s="9" t="n">
        <v>1244.52</v>
      </c>
    </row>
    <row r="15">
      <c r="A15" t="n">
        <v>2026</v>
      </c>
      <c r="B15" t="n">
        <v>7</v>
      </c>
      <c r="C15" s="9" t="n">
        <v>1275</v>
      </c>
      <c r="D15" s="9" t="n">
        <v>251</v>
      </c>
      <c r="E15" s="9" t="n">
        <v>268</v>
      </c>
      <c r="F15" s="9" t="n">
        <v>1424.2</v>
      </c>
    </row>
    <row r="17">
      <c r="A17" s="10" t="inlineStr">
        <is>
          <t>← Volver al índice</t>
        </is>
      </c>
    </row>
  </sheetData>
  <mergeCells count="2">
    <mergeCell ref="A3:F3"/>
    <mergeCell ref="A2:F2"/>
  </mergeCells>
  <hyperlinks>
    <hyperlink ref="A17" location="'Leeme'!A1" display="← Volver al índice"/>
  </hyperlinks>
  <printOptions horizontalCentered="1"/>
  <pageMargins left="0.75" right="0.75" top="1" bottom="1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F12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5" customWidth="1" min="1" max="1"/>
    <col width="13" customWidth="1" min="2" max="2"/>
    <col width="22" customWidth="1" min="3" max="3"/>
  </cols>
  <sheetData>
    <row r="1">
      <c r="A1" s="6" t="inlineStr">
        <is>
          <t>9 Vigencia</t>
        </is>
      </c>
    </row>
    <row r="2" ht="19" customHeight="1">
      <c r="A2" s="7" t="inlineStr">
        <is>
          <t>¿Hasta qué mes vale cada conclusión?</t>
        </is>
      </c>
    </row>
    <row r="3" ht="79" customHeight="1">
      <c r="A3" s="8" t="inlineStr">
        <is>
          <t>Cómo se lee: las series se publican con rezagos distintos; cada análisis llega hasta el último mes en que TODAS sus series tienen dato válido (sin valores a futuro ni sospechosos). El privado no registrado va aparte: el INDEC lo publica con 5 meses de rezago y acá se fecha en el mes que mide, así que termina antes que el resto de los salarios.</t>
        </is>
      </c>
    </row>
    <row r="5">
      <c r="A5" t="inlineStr">
        <is>
          <t>Análisis</t>
        </is>
      </c>
      <c r="B5" t="inlineStr">
        <is>
          <t>Vale hasta</t>
        </is>
      </c>
      <c r="C5" t="inlineStr">
        <is>
          <t>Rezago máx. (meses)</t>
        </is>
      </c>
    </row>
    <row r="6">
      <c r="A6" t="inlineStr">
        <is>
          <t>Salario real: privado no registrado</t>
        </is>
      </c>
      <c r="B6" t="inlineStr">
        <is>
          <t>feb-2026</t>
        </is>
      </c>
      <c r="C6" t="n">
        <v>8</v>
      </c>
    </row>
    <row r="7">
      <c r="A7" t="inlineStr">
        <is>
          <t>Poder de compra en canastas</t>
        </is>
      </c>
      <c r="B7" t="inlineStr">
        <is>
          <t>jul-2026</t>
        </is>
      </c>
      <c r="C7" t="n">
        <v>3</v>
      </c>
    </row>
    <row r="8">
      <c r="A8" t="inlineStr">
        <is>
          <t>Salario en dólares</t>
        </is>
      </c>
      <c r="B8" t="inlineStr">
        <is>
          <t>jul-2026</t>
        </is>
      </c>
      <c r="C8" t="n">
        <v>3</v>
      </c>
    </row>
    <row r="9">
      <c r="A9" t="inlineStr">
        <is>
          <t>Salario real: total, registrados, privado y público</t>
        </is>
      </c>
      <c r="B9" t="inlineStr">
        <is>
          <t>jul-2026</t>
        </is>
      </c>
      <c r="C9" t="n">
        <v>3</v>
      </c>
    </row>
    <row r="10">
      <c r="A10" t="inlineStr">
        <is>
          <t>Inflación, rubros y regiones</t>
        </is>
      </c>
      <c r="B10" t="inlineStr">
        <is>
          <t>sep-2026</t>
        </is>
      </c>
      <c r="C10" t="n">
        <v>1</v>
      </c>
    </row>
    <row r="12">
      <c r="A12" s="10" t="inlineStr">
        <is>
          <t>← Volver al índice</t>
        </is>
      </c>
    </row>
  </sheetData>
  <mergeCells count="2">
    <mergeCell ref="A3:F3"/>
    <mergeCell ref="A2:F2"/>
  </mergeCells>
  <hyperlinks>
    <hyperlink ref="A12" location="'Leeme'!A1" display="← Volver al índice"/>
  </hyperlinks>
  <printOptions horizontalCentered="1"/>
  <pageMargins left="0.75" right="0.75" top="1" bottom="1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F123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1" customWidth="1" min="1" max="1"/>
    <col width="21" customWidth="1" min="2" max="2"/>
    <col width="10" customWidth="1" min="3" max="3"/>
    <col width="24" customWidth="1" min="4" max="4"/>
    <col width="9" customWidth="1" min="5" max="5"/>
  </cols>
  <sheetData>
    <row r="1">
      <c r="A1" s="6" t="inlineStr">
        <is>
          <t>Salario real mensual</t>
        </is>
      </c>
    </row>
    <row r="2" ht="19" customHeight="1">
      <c r="A2" s="7" t="inlineStr">
        <is>
          <t>¿Cómo evolucionó mes a mes el salario real de cada sector?</t>
        </is>
      </c>
    </row>
    <row r="3" ht="34" customHeight="1">
      <c r="A3" s="8" t="inlineStr">
        <is>
          <t>Cómo se lee: índice de salarios del INDEC deflactado por el IPC; 100 = poder de compra de dic-2016.</t>
        </is>
      </c>
    </row>
    <row r="5">
      <c r="A5" t="inlineStr">
        <is>
          <t>Mes</t>
        </is>
      </c>
      <c r="B5" t="inlineStr">
        <is>
          <t>Privado registrado</t>
        </is>
      </c>
      <c r="C5" t="inlineStr">
        <is>
          <t>Público</t>
        </is>
      </c>
      <c r="D5" t="inlineStr">
        <is>
          <t>Privado no registrado</t>
        </is>
      </c>
      <c r="E5" t="inlineStr">
        <is>
          <t>Total</t>
        </is>
      </c>
    </row>
    <row r="6">
      <c r="A6" t="inlineStr">
        <is>
          <t>dic-2016</t>
        </is>
      </c>
      <c r="B6" s="9" t="n">
        <v>100</v>
      </c>
      <c r="C6" s="9" t="n">
        <v>100</v>
      </c>
      <c r="D6" s="9" t="n">
        <v>100</v>
      </c>
      <c r="E6" s="9" t="n">
        <v>100</v>
      </c>
    </row>
    <row r="7">
      <c r="A7" t="inlineStr">
        <is>
          <t>ene-2017</t>
        </is>
      </c>
      <c r="B7" s="9" t="n">
        <v>101.74</v>
      </c>
      <c r="C7" s="9" t="n">
        <v>98.73999999999999</v>
      </c>
      <c r="D7" s="9" t="n">
        <v>98.81999999999999</v>
      </c>
      <c r="E7" s="9" t="n">
        <v>99.95999999999999</v>
      </c>
    </row>
    <row r="8">
      <c r="A8" t="inlineStr">
        <is>
          <t>feb-2017</t>
        </is>
      </c>
      <c r="B8" s="9" t="n">
        <v>100.94</v>
      </c>
      <c r="C8" s="9" t="n">
        <v>97.11</v>
      </c>
      <c r="D8" s="9" t="n">
        <v>100.57</v>
      </c>
      <c r="E8" s="9" t="n">
        <v>99.23</v>
      </c>
    </row>
    <row r="9">
      <c r="A9" t="inlineStr">
        <is>
          <t>mar-2017</t>
        </is>
      </c>
      <c r="B9" s="9" t="n">
        <v>100.04</v>
      </c>
      <c r="C9" s="9" t="n">
        <v>98.69</v>
      </c>
      <c r="D9" s="9" t="n">
        <v>102.56</v>
      </c>
      <c r="E9" s="9" t="n">
        <v>99.73999999999999</v>
      </c>
    </row>
    <row r="10">
      <c r="A10" t="inlineStr">
        <is>
          <t>abr-2017</t>
        </is>
      </c>
      <c r="B10" s="9" t="n">
        <v>100.73</v>
      </c>
      <c r="C10" s="9" t="n">
        <v>99.34</v>
      </c>
      <c r="D10" s="9" t="n">
        <v>101.21</v>
      </c>
      <c r="E10" s="9" t="n">
        <v>100.56</v>
      </c>
    </row>
    <row r="11">
      <c r="A11" t="inlineStr">
        <is>
          <t>may-2017</t>
        </is>
      </c>
      <c r="B11" s="9" t="n">
        <v>101.28</v>
      </c>
      <c r="C11" s="9" t="n">
        <v>99.23</v>
      </c>
      <c r="D11" s="9" t="n">
        <v>100.4</v>
      </c>
      <c r="E11" s="9" t="n">
        <v>100.72</v>
      </c>
    </row>
    <row r="12">
      <c r="A12" t="inlineStr">
        <is>
          <t>jun-2017</t>
        </is>
      </c>
      <c r="B12" s="9" t="n">
        <v>101.87</v>
      </c>
      <c r="C12" s="9" t="n">
        <v>100.7</v>
      </c>
      <c r="D12" s="9" t="n">
        <v>101.89</v>
      </c>
      <c r="E12" s="9" t="n">
        <v>101.29</v>
      </c>
    </row>
    <row r="13">
      <c r="A13" t="inlineStr">
        <is>
          <t>jul-2017</t>
        </is>
      </c>
      <c r="B13" s="9" t="n">
        <v>104.89</v>
      </c>
      <c r="C13" s="9" t="n">
        <v>101.72</v>
      </c>
      <c r="D13" s="9" t="n">
        <v>103</v>
      </c>
      <c r="E13" s="9" t="n">
        <v>103.54</v>
      </c>
    </row>
    <row r="14">
      <c r="A14" t="inlineStr">
        <is>
          <t>ago-2017</t>
        </is>
      </c>
      <c r="B14" s="9" t="n">
        <v>104.91</v>
      </c>
      <c r="C14" s="9" t="n">
        <v>102.9</v>
      </c>
      <c r="D14" s="9" t="n">
        <v>102.22</v>
      </c>
      <c r="E14" s="9" t="n">
        <v>104.51</v>
      </c>
    </row>
    <row r="15">
      <c r="A15" t="inlineStr">
        <is>
          <t>sep-2017</t>
        </is>
      </c>
      <c r="B15" s="9" t="n">
        <v>104.16</v>
      </c>
      <c r="C15" s="9" t="n">
        <v>102.93</v>
      </c>
      <c r="D15" s="9" t="n">
        <v>101.51</v>
      </c>
      <c r="E15" s="9" t="n">
        <v>104.02</v>
      </c>
    </row>
    <row r="16">
      <c r="A16" t="inlineStr">
        <is>
          <t>oct-2017</t>
        </is>
      </c>
      <c r="B16" s="9" t="n">
        <v>104.42</v>
      </c>
      <c r="C16" s="9" t="n">
        <v>103.15</v>
      </c>
      <c r="D16" s="9" t="n">
        <v>101.81</v>
      </c>
      <c r="E16" s="9" t="n">
        <v>104.02</v>
      </c>
    </row>
    <row r="17">
      <c r="A17" t="inlineStr">
        <is>
          <t>nov-2017</t>
        </is>
      </c>
      <c r="B17" s="9" t="n">
        <v>104.46</v>
      </c>
      <c r="C17" s="9" t="n">
        <v>102.79</v>
      </c>
      <c r="D17" s="9" t="n">
        <v>102.78</v>
      </c>
      <c r="E17" s="9" t="n">
        <v>104.21</v>
      </c>
    </row>
    <row r="18">
      <c r="A18" t="inlineStr">
        <is>
          <t>dic-2017</t>
        </is>
      </c>
      <c r="B18" s="9" t="n">
        <v>102.03</v>
      </c>
      <c r="C18" s="9" t="n">
        <v>100.15</v>
      </c>
      <c r="D18" s="9" t="n">
        <v>98.77</v>
      </c>
      <c r="E18" s="9" t="n">
        <v>102.15</v>
      </c>
    </row>
    <row r="19">
      <c r="A19" t="inlineStr">
        <is>
          <t>ene-2018</t>
        </is>
      </c>
      <c r="B19" s="9" t="n">
        <v>101.98</v>
      </c>
      <c r="C19" s="9" t="n">
        <v>98.81</v>
      </c>
      <c r="D19" s="9" t="n">
        <v>95.91</v>
      </c>
      <c r="E19" s="9" t="n">
        <v>101.49</v>
      </c>
    </row>
    <row r="20">
      <c r="A20" t="inlineStr">
        <is>
          <t>feb-2018</t>
        </is>
      </c>
      <c r="B20" s="9" t="n">
        <v>100.37</v>
      </c>
      <c r="C20" s="9" t="n">
        <v>97.13</v>
      </c>
      <c r="D20" s="9" t="n">
        <v>96.34</v>
      </c>
      <c r="E20" s="9" t="n">
        <v>99.93000000000001</v>
      </c>
    </row>
    <row r="21">
      <c r="A21" t="inlineStr">
        <is>
          <t>mar-2018</t>
        </is>
      </c>
      <c r="B21" s="9" t="n">
        <v>99.47</v>
      </c>
      <c r="C21" s="9" t="n">
        <v>97.59</v>
      </c>
      <c r="D21" s="9" t="n">
        <v>96.55</v>
      </c>
      <c r="E21" s="9" t="n">
        <v>99.5</v>
      </c>
    </row>
    <row r="22">
      <c r="A22" t="inlineStr">
        <is>
          <t>abr-2018</t>
        </is>
      </c>
      <c r="B22" s="9" t="n">
        <v>100.22</v>
      </c>
      <c r="C22" s="9" t="n">
        <v>96.44</v>
      </c>
      <c r="D22" s="9" t="n">
        <v>97.27</v>
      </c>
      <c r="E22" s="9" t="n">
        <v>99.45999999999999</v>
      </c>
    </row>
    <row r="23">
      <c r="A23" t="inlineStr">
        <is>
          <t>may-2018</t>
        </is>
      </c>
      <c r="B23" s="9" t="n">
        <v>100.59</v>
      </c>
      <c r="C23" s="9" t="n">
        <v>95.98</v>
      </c>
      <c r="D23" s="9" t="n">
        <v>96.91</v>
      </c>
      <c r="E23" s="9" t="n">
        <v>98.92</v>
      </c>
    </row>
    <row r="24">
      <c r="A24" t="inlineStr">
        <is>
          <t>jun-2018</t>
        </is>
      </c>
      <c r="B24" s="9" t="n">
        <v>98.31</v>
      </c>
      <c r="C24" s="9" t="n">
        <v>93.75</v>
      </c>
      <c r="D24" s="9" t="n">
        <v>98.37</v>
      </c>
      <c r="E24" s="9" t="n">
        <v>96.17</v>
      </c>
    </row>
    <row r="25">
      <c r="A25" t="inlineStr">
        <is>
          <t>jul-2018</t>
        </is>
      </c>
      <c r="B25" s="9" t="n">
        <v>97.61</v>
      </c>
      <c r="C25" s="9" t="n">
        <v>93.56999999999999</v>
      </c>
      <c r="D25" s="9" t="n">
        <v>99.84999999999999</v>
      </c>
      <c r="E25" s="9" t="n">
        <v>95.72</v>
      </c>
    </row>
    <row r="26">
      <c r="A26" t="inlineStr">
        <is>
          <t>ago-2018</t>
        </is>
      </c>
      <c r="B26" s="9" t="n">
        <v>96.63</v>
      </c>
      <c r="C26" s="9" t="n">
        <v>92.75</v>
      </c>
      <c r="D26" s="9" t="n">
        <v>98.64</v>
      </c>
      <c r="E26" s="9" t="n">
        <v>94.73999999999999</v>
      </c>
    </row>
    <row r="27">
      <c r="A27" t="inlineStr">
        <is>
          <t>sep-2018</t>
        </is>
      </c>
      <c r="B27" s="9" t="n">
        <v>92.83</v>
      </c>
      <c r="C27" s="9" t="n">
        <v>90.09999999999999</v>
      </c>
      <c r="D27" s="9" t="n">
        <v>94.98</v>
      </c>
      <c r="E27" s="9" t="n">
        <v>91.52</v>
      </c>
    </row>
    <row r="28">
      <c r="A28" t="inlineStr">
        <is>
          <t>oct-2018</t>
        </is>
      </c>
      <c r="B28" s="9" t="n">
        <v>91.45</v>
      </c>
      <c r="C28" s="9" t="n">
        <v>89.48999999999999</v>
      </c>
      <c r="D28" s="9" t="n">
        <v>92.53</v>
      </c>
      <c r="E28" s="9" t="n">
        <v>90.01000000000001</v>
      </c>
    </row>
    <row r="29">
      <c r="A29" t="inlineStr">
        <is>
          <t>nov-2018</t>
        </is>
      </c>
      <c r="B29" s="9" t="n">
        <v>90.93000000000001</v>
      </c>
      <c r="C29" s="9" t="n">
        <v>88.47</v>
      </c>
      <c r="D29" s="9" t="n">
        <v>90.79000000000001</v>
      </c>
      <c r="E29" s="9" t="n">
        <v>89.81</v>
      </c>
    </row>
    <row r="30">
      <c r="A30" t="inlineStr">
        <is>
          <t>dic-2018</t>
        </is>
      </c>
      <c r="B30" s="9" t="n">
        <v>90.12</v>
      </c>
      <c r="C30" s="9" t="n">
        <v>88.36</v>
      </c>
      <c r="D30" s="9" t="n">
        <v>88.31999999999999</v>
      </c>
      <c r="E30" s="9" t="n">
        <v>89.73</v>
      </c>
    </row>
    <row r="31">
      <c r="A31" t="inlineStr">
        <is>
          <t>ene-2019</t>
        </is>
      </c>
      <c r="B31" s="9" t="n">
        <v>90.68000000000001</v>
      </c>
      <c r="C31" s="9" t="n">
        <v>88.09</v>
      </c>
      <c r="D31" s="9" t="n">
        <v>85.98999999999999</v>
      </c>
      <c r="E31" s="9" t="n">
        <v>89.89</v>
      </c>
    </row>
    <row r="32">
      <c r="A32" t="inlineStr">
        <is>
          <t>feb-2019</t>
        </is>
      </c>
      <c r="B32" s="9" t="n">
        <v>89.79000000000001</v>
      </c>
      <c r="C32" s="9" t="n">
        <v>87.06999999999999</v>
      </c>
      <c r="D32" s="9" t="n">
        <v>85.81</v>
      </c>
      <c r="E32" s="9" t="n">
        <v>88.92</v>
      </c>
    </row>
    <row r="33">
      <c r="A33" t="inlineStr">
        <is>
          <t>mar-2019</t>
        </is>
      </c>
      <c r="B33" s="9" t="n">
        <v>88.84</v>
      </c>
      <c r="C33" s="9" t="n">
        <v>87.73999999999999</v>
      </c>
      <c r="D33" s="9" t="n">
        <v>84.08</v>
      </c>
      <c r="E33" s="9" t="n">
        <v>88.3</v>
      </c>
    </row>
    <row r="34">
      <c r="A34" t="inlineStr">
        <is>
          <t>abr-2019</t>
        </is>
      </c>
      <c r="B34" s="9" t="n">
        <v>88.26000000000001</v>
      </c>
      <c r="C34" s="9" t="n">
        <v>86.5</v>
      </c>
      <c r="D34" s="9" t="n">
        <v>82.39</v>
      </c>
      <c r="E34" s="9" t="n">
        <v>87.27</v>
      </c>
    </row>
    <row r="35">
      <c r="A35" t="inlineStr">
        <is>
          <t>may-2019</t>
        </is>
      </c>
      <c r="B35" s="9" t="n">
        <v>89.26000000000001</v>
      </c>
      <c r="C35" s="9" t="n">
        <v>85.97</v>
      </c>
      <c r="D35" s="9" t="n">
        <v>81.62</v>
      </c>
      <c r="E35" s="9" t="n">
        <v>87.06999999999999</v>
      </c>
    </row>
    <row r="36">
      <c r="A36" t="inlineStr">
        <is>
          <t>jun-2019</t>
        </is>
      </c>
      <c r="B36" s="9" t="n">
        <v>89.2</v>
      </c>
      <c r="C36" s="9" t="n">
        <v>85.42</v>
      </c>
      <c r="D36" s="9" t="n">
        <v>81.26000000000001</v>
      </c>
      <c r="E36" s="9" t="n">
        <v>86.45999999999999</v>
      </c>
    </row>
    <row r="37">
      <c r="A37" t="inlineStr">
        <is>
          <t>jul-2019</t>
        </is>
      </c>
      <c r="B37" s="9" t="n">
        <v>91.02</v>
      </c>
      <c r="C37" s="9" t="n">
        <v>88.8</v>
      </c>
      <c r="D37" s="9" t="n">
        <v>83.76000000000001</v>
      </c>
      <c r="E37" s="9" t="n">
        <v>88.59</v>
      </c>
    </row>
    <row r="38">
      <c r="A38" t="inlineStr">
        <is>
          <t>ago-2019</t>
        </is>
      </c>
      <c r="B38" s="9" t="n">
        <v>90</v>
      </c>
      <c r="C38" s="9" t="n">
        <v>86.92</v>
      </c>
      <c r="D38" s="9" t="n">
        <v>83.90000000000001</v>
      </c>
      <c r="E38" s="9" t="n">
        <v>87.3</v>
      </c>
    </row>
    <row r="39">
      <c r="A39" t="inlineStr">
        <is>
          <t>sep-2019</t>
        </is>
      </c>
      <c r="B39" s="9" t="n">
        <v>87.23</v>
      </c>
      <c r="C39" s="9" t="n">
        <v>85.01000000000001</v>
      </c>
      <c r="D39" s="9" t="n">
        <v>81.77</v>
      </c>
      <c r="E39" s="9" t="n">
        <v>84.65000000000001</v>
      </c>
    </row>
    <row r="40">
      <c r="A40" t="inlineStr">
        <is>
          <t>oct-2019</t>
        </is>
      </c>
      <c r="B40" s="9" t="n">
        <v>87.64</v>
      </c>
      <c r="C40" s="9" t="n">
        <v>84.78</v>
      </c>
      <c r="D40" s="9" t="n">
        <v>81.90000000000001</v>
      </c>
      <c r="E40" s="9" t="n">
        <v>84.61</v>
      </c>
    </row>
    <row r="41">
      <c r="A41" t="inlineStr">
        <is>
          <t>nov-2019</t>
        </is>
      </c>
      <c r="B41" s="9" t="n">
        <v>86.39</v>
      </c>
      <c r="C41" s="9" t="n">
        <v>82.73</v>
      </c>
      <c r="D41" s="9" t="n">
        <v>79.09999999999999</v>
      </c>
      <c r="E41" s="9" t="n">
        <v>83.08</v>
      </c>
    </row>
    <row r="42">
      <c r="A42" t="inlineStr">
        <is>
          <t>dic-2019</t>
        </is>
      </c>
      <c r="B42" s="9" t="n">
        <v>84.54000000000001</v>
      </c>
      <c r="C42" s="9" t="n">
        <v>82.06999999999999</v>
      </c>
      <c r="D42" s="9" t="n">
        <v>75.86</v>
      </c>
      <c r="E42" s="9" t="n">
        <v>82.18000000000001</v>
      </c>
    </row>
    <row r="43">
      <c r="A43" t="inlineStr">
        <is>
          <t>ene-2020</t>
        </is>
      </c>
      <c r="B43" s="9" t="n">
        <v>89.73999999999999</v>
      </c>
      <c r="C43" s="9" t="n">
        <v>82.44</v>
      </c>
      <c r="D43" s="9" t="n">
        <v>75.31</v>
      </c>
      <c r="E43" s="9" t="n">
        <v>85.19</v>
      </c>
    </row>
    <row r="44">
      <c r="A44" t="inlineStr">
        <is>
          <t>feb-2020</t>
        </is>
      </c>
      <c r="B44" s="9" t="n">
        <v>92.03</v>
      </c>
      <c r="C44" s="9" t="n">
        <v>83.12</v>
      </c>
      <c r="D44" s="9" t="n">
        <v>76.95999999999999</v>
      </c>
      <c r="E44" s="9" t="n">
        <v>86.72</v>
      </c>
    </row>
    <row r="45">
      <c r="A45" t="inlineStr">
        <is>
          <t>mar-2020</t>
        </is>
      </c>
      <c r="B45" s="9" t="n">
        <v>91.09999999999999</v>
      </c>
      <c r="C45" s="9" t="n">
        <v>83.79000000000001</v>
      </c>
      <c r="D45" s="9" t="n">
        <v>77.25</v>
      </c>
      <c r="E45" s="9" t="n">
        <v>86.47</v>
      </c>
    </row>
    <row r="46">
      <c r="A46" t="inlineStr">
        <is>
          <t>abr-2020</t>
        </is>
      </c>
      <c r="B46" s="9" t="n">
        <v>89.55</v>
      </c>
      <c r="C46" s="9" t="n">
        <v>83.01000000000001</v>
      </c>
      <c r="D46" s="9" t="n">
        <v>77.89</v>
      </c>
      <c r="E46" s="9" t="n">
        <v>85.34</v>
      </c>
    </row>
    <row r="47">
      <c r="A47" t="inlineStr">
        <is>
          <t>may-2020</t>
        </is>
      </c>
      <c r="B47" s="9" t="n">
        <v>87.98</v>
      </c>
      <c r="C47" s="9" t="n">
        <v>82.18000000000001</v>
      </c>
      <c r="D47" s="9" t="n">
        <v>78.36</v>
      </c>
      <c r="E47" s="9" t="n">
        <v>83.98</v>
      </c>
    </row>
    <row r="48">
      <c r="A48" t="inlineStr">
        <is>
          <t>jun-2020</t>
        </is>
      </c>
      <c r="B48" s="9" t="n">
        <v>86.16</v>
      </c>
      <c r="C48" s="9" t="n">
        <v>81.06</v>
      </c>
      <c r="D48" s="9" t="n">
        <v>82.34</v>
      </c>
      <c r="E48" s="9" t="n">
        <v>82.63</v>
      </c>
    </row>
    <row r="49">
      <c r="A49" t="inlineStr">
        <is>
          <t>jul-2020</t>
        </is>
      </c>
      <c r="B49" s="9" t="n">
        <v>85.64</v>
      </c>
      <c r="C49" s="9" t="n">
        <v>80.40000000000001</v>
      </c>
      <c r="D49" s="9" t="n">
        <v>81.78</v>
      </c>
      <c r="E49" s="9" t="n">
        <v>82.51000000000001</v>
      </c>
    </row>
    <row r="50">
      <c r="A50" t="inlineStr">
        <is>
          <t>ago-2020</t>
        </is>
      </c>
      <c r="B50" s="9" t="n">
        <v>85.09999999999999</v>
      </c>
      <c r="C50" s="9" t="n">
        <v>78.89</v>
      </c>
      <c r="D50" s="9" t="n">
        <v>81.59</v>
      </c>
      <c r="E50" s="9" t="n">
        <v>81.95</v>
      </c>
    </row>
    <row r="51">
      <c r="A51" t="inlineStr">
        <is>
          <t>sep-2020</t>
        </is>
      </c>
      <c r="B51" s="9" t="n">
        <v>84.55</v>
      </c>
      <c r="C51" s="9" t="n">
        <v>79.17</v>
      </c>
      <c r="D51" s="9" t="n">
        <v>81.58</v>
      </c>
      <c r="E51" s="9" t="n">
        <v>81.68000000000001</v>
      </c>
    </row>
    <row r="52">
      <c r="A52" t="inlineStr">
        <is>
          <t>oct-2020</t>
        </is>
      </c>
      <c r="B52" s="9" t="n">
        <v>85.84</v>
      </c>
      <c r="C52" s="9" t="n">
        <v>78.69</v>
      </c>
      <c r="D52" s="9" t="n">
        <v>81.97</v>
      </c>
      <c r="E52" s="9" t="n">
        <v>81.94</v>
      </c>
    </row>
    <row r="53">
      <c r="A53" t="inlineStr">
        <is>
          <t>nov-2020</t>
        </is>
      </c>
      <c r="B53" s="9" t="n">
        <v>85.41</v>
      </c>
      <c r="C53" s="9" t="n">
        <v>77.64</v>
      </c>
      <c r="D53" s="9" t="n">
        <v>80.62</v>
      </c>
      <c r="E53" s="9" t="n">
        <v>82.05</v>
      </c>
    </row>
    <row r="54">
      <c r="A54" t="inlineStr">
        <is>
          <t>dic-2020</t>
        </is>
      </c>
      <c r="B54" s="9" t="n">
        <v>83.43000000000001</v>
      </c>
      <c r="C54" s="9" t="n">
        <v>76.44</v>
      </c>
      <c r="D54" s="9" t="n">
        <v>78.20999999999999</v>
      </c>
      <c r="E54" s="9" t="n">
        <v>80.28</v>
      </c>
    </row>
    <row r="55">
      <c r="A55" t="inlineStr">
        <is>
          <t>ene-2021</t>
        </is>
      </c>
      <c r="B55" s="9" t="n">
        <v>83.42</v>
      </c>
      <c r="C55" s="9" t="n">
        <v>75.26000000000001</v>
      </c>
      <c r="D55" s="9" t="n">
        <v>76.05</v>
      </c>
      <c r="E55" s="9" t="n">
        <v>79.68000000000001</v>
      </c>
    </row>
    <row r="56">
      <c r="A56" t="inlineStr">
        <is>
          <t>feb-2021</t>
        </is>
      </c>
      <c r="B56" s="9" t="n">
        <v>84.68000000000001</v>
      </c>
      <c r="C56" s="9" t="n">
        <v>75.44</v>
      </c>
      <c r="D56" s="9" t="n">
        <v>75.18000000000001</v>
      </c>
      <c r="E56" s="9" t="n">
        <v>80.26000000000001</v>
      </c>
    </row>
    <row r="57">
      <c r="A57" t="inlineStr">
        <is>
          <t>mar-2021</t>
        </is>
      </c>
      <c r="B57" s="9" t="n">
        <v>83.98999999999999</v>
      </c>
      <c r="C57" s="9" t="n">
        <v>77.40000000000001</v>
      </c>
      <c r="D57" s="9" t="n">
        <v>73.56</v>
      </c>
      <c r="E57" s="9" t="n">
        <v>80.41</v>
      </c>
    </row>
    <row r="58">
      <c r="A58" t="inlineStr">
        <is>
          <t>abr-2021</t>
        </is>
      </c>
      <c r="B58" s="9" t="n">
        <v>84.53</v>
      </c>
      <c r="C58" s="9" t="n">
        <v>75.53</v>
      </c>
      <c r="D58" s="9" t="n">
        <v>71.26000000000001</v>
      </c>
      <c r="E58" s="9" t="n">
        <v>79.73999999999999</v>
      </c>
    </row>
    <row r="59">
      <c r="A59" t="inlineStr">
        <is>
          <t>may-2021</t>
        </is>
      </c>
      <c r="B59" s="9" t="n">
        <v>84.68000000000001</v>
      </c>
      <c r="C59" s="9" t="n">
        <v>75.2</v>
      </c>
      <c r="D59" s="9" t="n">
        <v>72.87</v>
      </c>
      <c r="E59" s="9" t="n">
        <v>79.37</v>
      </c>
    </row>
    <row r="60">
      <c r="A60" t="inlineStr">
        <is>
          <t>jun-2021</t>
        </is>
      </c>
      <c r="B60" s="9" t="n">
        <v>83.51000000000001</v>
      </c>
      <c r="C60" s="9" t="n">
        <v>75.81</v>
      </c>
      <c r="D60" s="9" t="n">
        <v>73.7</v>
      </c>
      <c r="E60" s="9" t="n">
        <v>78.69</v>
      </c>
    </row>
    <row r="61">
      <c r="A61" t="inlineStr">
        <is>
          <t>jul-2021</t>
        </is>
      </c>
      <c r="B61" s="9" t="n">
        <v>85.27</v>
      </c>
      <c r="C61" s="9" t="n">
        <v>78.04000000000001</v>
      </c>
      <c r="D61" s="9" t="n">
        <v>75.73</v>
      </c>
      <c r="E61" s="9" t="n">
        <v>80.15000000000001</v>
      </c>
    </row>
    <row r="62">
      <c r="A62" t="inlineStr">
        <is>
          <t>ago-2021</t>
        </is>
      </c>
      <c r="B62" s="9" t="n">
        <v>86</v>
      </c>
      <c r="C62" s="9" t="n">
        <v>78.63</v>
      </c>
      <c r="D62" s="9" t="n">
        <v>75.8</v>
      </c>
      <c r="E62" s="9" t="n">
        <v>80.70999999999999</v>
      </c>
    </row>
    <row r="63">
      <c r="A63" t="inlineStr">
        <is>
          <t>sep-2021</t>
        </is>
      </c>
      <c r="B63" s="9" t="n">
        <v>86.05</v>
      </c>
      <c r="C63" s="9" t="n">
        <v>80.97</v>
      </c>
      <c r="D63" s="9" t="n">
        <v>74.78</v>
      </c>
      <c r="E63" s="9" t="n">
        <v>81.06</v>
      </c>
    </row>
    <row r="64">
      <c r="A64" t="inlineStr">
        <is>
          <t>oct-2021</t>
        </is>
      </c>
      <c r="B64" s="9" t="n">
        <v>86.20999999999999</v>
      </c>
      <c r="C64" s="9" t="n">
        <v>81.09</v>
      </c>
      <c r="D64" s="9" t="n">
        <v>76.3</v>
      </c>
      <c r="E64" s="9" t="n">
        <v>81.45999999999999</v>
      </c>
    </row>
    <row r="65">
      <c r="A65" t="inlineStr">
        <is>
          <t>nov-2021</t>
        </is>
      </c>
      <c r="B65" s="9" t="n">
        <v>87.84999999999999</v>
      </c>
      <c r="C65" s="9" t="n">
        <v>81.25</v>
      </c>
      <c r="D65" s="9" t="n">
        <v>79.68000000000001</v>
      </c>
      <c r="E65" s="9" t="n">
        <v>82.58</v>
      </c>
    </row>
    <row r="66">
      <c r="A66" t="inlineStr">
        <is>
          <t>dic-2021</t>
        </is>
      </c>
      <c r="B66" s="9" t="n">
        <v>85.81999999999999</v>
      </c>
      <c r="C66" s="9" t="n">
        <v>80.34</v>
      </c>
      <c r="D66" s="9" t="n">
        <v>79.2</v>
      </c>
      <c r="E66" s="9" t="n">
        <v>81.56</v>
      </c>
    </row>
    <row r="67">
      <c r="A67" t="inlineStr">
        <is>
          <t>ene-2022</t>
        </is>
      </c>
      <c r="B67" s="9" t="n">
        <v>86.45</v>
      </c>
      <c r="C67" s="9" t="n">
        <v>79.59999999999999</v>
      </c>
      <c r="D67" s="9" t="n">
        <v>79.75</v>
      </c>
      <c r="E67" s="9" t="n">
        <v>81.47</v>
      </c>
    </row>
    <row r="68">
      <c r="A68" t="inlineStr">
        <is>
          <t>feb-2022</t>
        </is>
      </c>
      <c r="B68" s="9" t="n">
        <v>85.77</v>
      </c>
      <c r="C68" s="9" t="n">
        <v>77.83</v>
      </c>
      <c r="D68" s="9" t="n">
        <v>78.44</v>
      </c>
      <c r="E68" s="9" t="n">
        <v>80.26000000000001</v>
      </c>
    </row>
    <row r="69">
      <c r="A69" t="inlineStr">
        <is>
          <t>mar-2022</t>
        </is>
      </c>
      <c r="B69" s="9" t="n">
        <v>84.72</v>
      </c>
      <c r="C69" s="9" t="n">
        <v>81.76000000000001</v>
      </c>
      <c r="D69" s="9" t="n">
        <v>77.47</v>
      </c>
      <c r="E69" s="9" t="n">
        <v>80.75</v>
      </c>
    </row>
    <row r="70">
      <c r="A70" t="inlineStr">
        <is>
          <t>abr-2022</t>
        </is>
      </c>
      <c r="B70" s="9" t="n">
        <v>84.36</v>
      </c>
      <c r="C70" s="9" t="n">
        <v>79.15000000000001</v>
      </c>
      <c r="D70" s="9" t="n">
        <v>78.87</v>
      </c>
      <c r="E70" s="9" t="n">
        <v>79.93000000000001</v>
      </c>
    </row>
    <row r="71">
      <c r="A71" t="inlineStr">
        <is>
          <t>may-2022</t>
        </is>
      </c>
      <c r="B71" s="9" t="n">
        <v>85.90000000000001</v>
      </c>
      <c r="C71" s="9" t="n">
        <v>80.34</v>
      </c>
      <c r="D71" s="9" t="n">
        <v>77.43000000000001</v>
      </c>
      <c r="E71" s="9" t="n">
        <v>80.81</v>
      </c>
    </row>
    <row r="72">
      <c r="A72" t="inlineStr">
        <is>
          <t>jun-2022</t>
        </is>
      </c>
      <c r="B72" s="9" t="n">
        <v>85.70999999999999</v>
      </c>
      <c r="C72" s="9" t="n">
        <v>79.81</v>
      </c>
      <c r="D72" s="9" t="n">
        <v>78.27</v>
      </c>
      <c r="E72" s="9" t="n">
        <v>80.47</v>
      </c>
    </row>
    <row r="73">
      <c r="A73" t="inlineStr">
        <is>
          <t>jul-2022</t>
        </is>
      </c>
      <c r="B73" s="9" t="n">
        <v>84.09999999999999</v>
      </c>
      <c r="C73" s="9" t="n">
        <v>79.75</v>
      </c>
      <c r="D73" s="9" t="n">
        <v>73.26000000000001</v>
      </c>
      <c r="E73" s="9" t="n">
        <v>79.06999999999999</v>
      </c>
    </row>
    <row r="74">
      <c r="A74" t="inlineStr">
        <is>
          <t>ago-2022</t>
        </is>
      </c>
      <c r="B74" s="9" t="n">
        <v>85.02</v>
      </c>
      <c r="C74" s="9" t="n">
        <v>77.70999999999999</v>
      </c>
      <c r="D74" s="9" t="n">
        <v>73.09999999999999</v>
      </c>
      <c r="E74" s="9" t="n">
        <v>78.73999999999999</v>
      </c>
    </row>
    <row r="75">
      <c r="A75" t="inlineStr">
        <is>
          <t>sep-2022</t>
        </is>
      </c>
      <c r="B75" s="9" t="n">
        <v>84.73999999999999</v>
      </c>
      <c r="C75" s="9" t="n">
        <v>78.84999999999999</v>
      </c>
      <c r="D75" s="9" t="n">
        <v>73.73999999999999</v>
      </c>
      <c r="E75" s="9" t="n">
        <v>79.16</v>
      </c>
    </row>
    <row r="76">
      <c r="A76" t="inlineStr">
        <is>
          <t>oct-2022</t>
        </is>
      </c>
      <c r="B76" s="9" t="n">
        <v>83.91</v>
      </c>
      <c r="C76" s="9" t="n">
        <v>78.58</v>
      </c>
      <c r="D76" s="9" t="n">
        <v>73.55</v>
      </c>
      <c r="E76" s="9" t="n">
        <v>78.26000000000001</v>
      </c>
    </row>
    <row r="77">
      <c r="A77" t="inlineStr">
        <is>
          <t>nov-2022</t>
        </is>
      </c>
      <c r="B77" s="9" t="n">
        <v>85.84999999999999</v>
      </c>
      <c r="C77" s="9" t="n">
        <v>79.17</v>
      </c>
      <c r="D77" s="9" t="n">
        <v>73.5</v>
      </c>
      <c r="E77" s="9" t="n">
        <v>79.59999999999999</v>
      </c>
    </row>
    <row r="78">
      <c r="A78" t="inlineStr">
        <is>
          <t>dic-2022</t>
        </is>
      </c>
      <c r="B78" s="9" t="n">
        <v>85.37</v>
      </c>
      <c r="C78" s="9" t="n">
        <v>82.23</v>
      </c>
      <c r="D78" s="9" t="n">
        <v>72.15000000000001</v>
      </c>
      <c r="E78" s="9" t="n">
        <v>79.70999999999999</v>
      </c>
    </row>
    <row r="79">
      <c r="A79" t="inlineStr">
        <is>
          <t>ene-2023</t>
        </is>
      </c>
      <c r="B79" s="9" t="n">
        <v>84.22</v>
      </c>
      <c r="C79" s="9" t="n">
        <v>80.58</v>
      </c>
      <c r="D79" s="9" t="n">
        <v>73.15000000000001</v>
      </c>
      <c r="E79" s="9" t="n">
        <v>78.72</v>
      </c>
    </row>
    <row r="80">
      <c r="A80" t="inlineStr">
        <is>
          <t>feb-2023</t>
        </is>
      </c>
      <c r="B80" s="9" t="n">
        <v>84.43000000000001</v>
      </c>
      <c r="C80" s="9" t="n">
        <v>78.48</v>
      </c>
      <c r="D80" s="9" t="n">
        <v>73.41</v>
      </c>
      <c r="E80" s="9" t="n">
        <v>78.25</v>
      </c>
    </row>
    <row r="81">
      <c r="A81" t="inlineStr">
        <is>
          <t>mar-2023</t>
        </is>
      </c>
      <c r="B81" s="9" t="n">
        <v>84.59</v>
      </c>
      <c r="C81" s="9" t="n">
        <v>84.77</v>
      </c>
      <c r="D81" s="9" t="n">
        <v>74</v>
      </c>
      <c r="E81" s="9" t="n">
        <v>80.02</v>
      </c>
    </row>
    <row r="82">
      <c r="A82" t="inlineStr">
        <is>
          <t>abr-2023</t>
        </is>
      </c>
      <c r="B82" s="9" t="n">
        <v>83.39</v>
      </c>
      <c r="C82" s="9" t="n">
        <v>81.39</v>
      </c>
      <c r="D82" s="9" t="n">
        <v>73.34999999999999</v>
      </c>
      <c r="E82" s="9" t="n">
        <v>78.01000000000001</v>
      </c>
    </row>
    <row r="83">
      <c r="A83" t="inlineStr">
        <is>
          <t>may-2023</t>
        </is>
      </c>
      <c r="B83" s="9" t="n">
        <v>83.68000000000001</v>
      </c>
      <c r="C83" s="9" t="n">
        <v>81.91</v>
      </c>
      <c r="D83" s="9" t="n">
        <v>71.40000000000001</v>
      </c>
      <c r="E83" s="9" t="n">
        <v>77.8</v>
      </c>
    </row>
    <row r="84">
      <c r="A84" t="inlineStr">
        <is>
          <t>jun-2023</t>
        </is>
      </c>
      <c r="B84" s="9" t="n">
        <v>83.48</v>
      </c>
      <c r="C84" s="9" t="n">
        <v>81.95999999999999</v>
      </c>
      <c r="D84" s="9" t="n">
        <v>73.01000000000001</v>
      </c>
      <c r="E84" s="9" t="n">
        <v>77.89</v>
      </c>
    </row>
    <row r="85">
      <c r="A85" t="inlineStr">
        <is>
          <t>jul-2023</t>
        </is>
      </c>
      <c r="B85" s="9" t="n">
        <v>86.97</v>
      </c>
      <c r="C85" s="9" t="n">
        <v>87.34</v>
      </c>
      <c r="D85" s="9" t="n">
        <v>73.90000000000001</v>
      </c>
      <c r="E85" s="9" t="n">
        <v>81.31</v>
      </c>
    </row>
    <row r="86">
      <c r="A86" t="inlineStr">
        <is>
          <t>ago-2023</t>
        </is>
      </c>
      <c r="B86" s="9" t="n">
        <v>83.79000000000001</v>
      </c>
      <c r="C86" s="9" t="n">
        <v>82.34</v>
      </c>
      <c r="D86" s="9" t="n">
        <v>73.11</v>
      </c>
      <c r="E86" s="9" t="n">
        <v>77.81999999999999</v>
      </c>
    </row>
    <row r="87">
      <c r="A87" t="inlineStr">
        <is>
          <t>sep-2023</t>
        </is>
      </c>
      <c r="B87" s="9" t="n">
        <v>84.15000000000001</v>
      </c>
      <c r="C87" s="9" t="n">
        <v>81.03</v>
      </c>
      <c r="D87" s="9" t="n">
        <v>68.55</v>
      </c>
      <c r="E87" s="9" t="n">
        <v>77.08</v>
      </c>
    </row>
    <row r="88">
      <c r="A88" t="inlineStr">
        <is>
          <t>oct-2023</t>
        </is>
      </c>
      <c r="B88" s="9" t="n">
        <v>84.48</v>
      </c>
      <c r="C88" s="9" t="n">
        <v>81.66</v>
      </c>
      <c r="D88" s="9" t="n">
        <v>69.45999999999999</v>
      </c>
      <c r="E88" s="9" t="n">
        <v>77.09999999999999</v>
      </c>
    </row>
    <row r="89">
      <c r="A89" t="inlineStr">
        <is>
          <t>nov-2023</t>
        </is>
      </c>
      <c r="B89" s="9" t="n">
        <v>82.33</v>
      </c>
      <c r="C89" s="9" t="n">
        <v>78.06</v>
      </c>
      <c r="D89" s="9" t="n">
        <v>66.36</v>
      </c>
      <c r="E89" s="9" t="n">
        <v>74.54000000000001</v>
      </c>
    </row>
    <row r="90">
      <c r="A90" t="inlineStr">
        <is>
          <t>dic-2023</t>
        </is>
      </c>
      <c r="B90" s="9" t="n">
        <v>72.87</v>
      </c>
      <c r="C90" s="9" t="n">
        <v>65.64</v>
      </c>
      <c r="D90" s="9" t="n">
        <v>59.13</v>
      </c>
      <c r="E90" s="9" t="n">
        <v>64.67</v>
      </c>
    </row>
    <row r="91">
      <c r="A91" t="inlineStr">
        <is>
          <t>ene-2024</t>
        </is>
      </c>
      <c r="B91" s="9" t="n">
        <v>72.48999999999999</v>
      </c>
      <c r="C91" s="9" t="n">
        <v>60.99</v>
      </c>
      <c r="D91" s="9" t="n">
        <v>53.54</v>
      </c>
      <c r="E91" s="9" t="n">
        <v>62.44</v>
      </c>
    </row>
    <row r="92">
      <c r="A92" t="inlineStr">
        <is>
          <t>feb-2024</t>
        </is>
      </c>
      <c r="B92" s="9" t="n">
        <v>73.02</v>
      </c>
      <c r="C92" s="9" t="n">
        <v>62</v>
      </c>
      <c r="D92" s="9" t="n">
        <v>54.41</v>
      </c>
      <c r="E92" s="9" t="n">
        <v>62.48</v>
      </c>
    </row>
    <row r="93">
      <c r="A93" t="inlineStr">
        <is>
          <t>mar-2024</t>
        </is>
      </c>
      <c r="B93" s="9" t="n">
        <v>72.34</v>
      </c>
      <c r="C93" s="9" t="n">
        <v>62.01</v>
      </c>
      <c r="D93" s="9" t="n">
        <v>54.2</v>
      </c>
      <c r="E93" s="9" t="n">
        <v>62.06</v>
      </c>
    </row>
    <row r="94">
      <c r="A94" t="inlineStr">
        <is>
          <t>abr-2024</t>
        </is>
      </c>
      <c r="B94" s="9" t="n">
        <v>74.43000000000001</v>
      </c>
      <c r="C94" s="9" t="n">
        <v>61.26</v>
      </c>
      <c r="D94" s="9" t="n">
        <v>54.96</v>
      </c>
      <c r="E94" s="9" t="n">
        <v>62.81</v>
      </c>
    </row>
    <row r="95">
      <c r="A95" t="inlineStr">
        <is>
          <t>may-2024</t>
        </is>
      </c>
      <c r="B95" s="9" t="n">
        <v>76.93000000000001</v>
      </c>
      <c r="C95" s="9" t="n">
        <v>63.66</v>
      </c>
      <c r="D95" s="9" t="n">
        <v>56.8</v>
      </c>
      <c r="E95" s="9" t="n">
        <v>65.31</v>
      </c>
    </row>
    <row r="96">
      <c r="A96" t="inlineStr">
        <is>
          <t>jun-2024</t>
        </is>
      </c>
      <c r="B96" s="9" t="n">
        <v>78.48</v>
      </c>
      <c r="C96" s="9" t="n">
        <v>63.27</v>
      </c>
      <c r="D96" s="9" t="n">
        <v>58.73</v>
      </c>
      <c r="E96" s="9" t="n">
        <v>66.31999999999999</v>
      </c>
    </row>
    <row r="97">
      <c r="A97" t="inlineStr">
        <is>
          <t>jul-2024</t>
        </is>
      </c>
      <c r="B97" s="9" t="n">
        <v>80.17</v>
      </c>
      <c r="C97" s="9" t="n">
        <v>64.91</v>
      </c>
      <c r="D97" s="9" t="n">
        <v>60.32</v>
      </c>
      <c r="E97" s="9" t="n">
        <v>68.51000000000001</v>
      </c>
    </row>
    <row r="98">
      <c r="A98" t="inlineStr">
        <is>
          <t>ago-2024</t>
        </is>
      </c>
      <c r="B98" s="9" t="n">
        <v>80.84</v>
      </c>
      <c r="C98" s="9" t="n">
        <v>65.20999999999999</v>
      </c>
      <c r="D98" s="9" t="n">
        <v>62.87</v>
      </c>
      <c r="E98" s="9" t="n">
        <v>69.48</v>
      </c>
    </row>
    <row r="99">
      <c r="A99" t="inlineStr">
        <is>
          <t>sep-2024</t>
        </is>
      </c>
      <c r="B99" s="9" t="n">
        <v>81.06999999999999</v>
      </c>
      <c r="C99" s="9" t="n">
        <v>65.48999999999999</v>
      </c>
      <c r="D99" s="9" t="n">
        <v>65.58</v>
      </c>
      <c r="E99" s="9" t="n">
        <v>70.31</v>
      </c>
    </row>
    <row r="100">
      <c r="A100" t="inlineStr">
        <is>
          <t>oct-2024</t>
        </is>
      </c>
      <c r="B100" s="9" t="n">
        <v>82.06999999999999</v>
      </c>
      <c r="C100" s="9" t="n">
        <v>66.54000000000001</v>
      </c>
      <c r="D100" s="9" t="n">
        <v>67.12</v>
      </c>
      <c r="E100" s="9" t="n">
        <v>71.61</v>
      </c>
    </row>
    <row r="101">
      <c r="A101" t="inlineStr">
        <is>
          <t>nov-2024</t>
        </is>
      </c>
      <c r="B101" s="9" t="n">
        <v>82.75</v>
      </c>
      <c r="C101" s="9" t="n">
        <v>66.73</v>
      </c>
      <c r="D101" s="9" t="n">
        <v>70.56</v>
      </c>
      <c r="E101" s="9" t="n">
        <v>72.61</v>
      </c>
    </row>
    <row r="102">
      <c r="A102" t="inlineStr">
        <is>
          <t>dic-2024</t>
        </is>
      </c>
      <c r="B102" s="9" t="n">
        <v>82.81999999999999</v>
      </c>
      <c r="C102" s="9" t="n">
        <v>66.09</v>
      </c>
      <c r="D102" s="9" t="n">
        <v>72.53</v>
      </c>
      <c r="E102" s="9" t="n">
        <v>72.90000000000001</v>
      </c>
    </row>
    <row r="103">
      <c r="A103" t="inlineStr">
        <is>
          <t>ene-2025</t>
        </is>
      </c>
      <c r="B103" s="9" t="n">
        <v>82.89</v>
      </c>
      <c r="C103" s="9" t="n">
        <v>65.26000000000001</v>
      </c>
      <c r="D103" s="9" t="n">
        <v>77.27</v>
      </c>
      <c r="E103" s="9" t="n">
        <v>73.41</v>
      </c>
    </row>
    <row r="104">
      <c r="A104" t="inlineStr">
        <is>
          <t>feb-2025</t>
        </is>
      </c>
      <c r="B104" s="9" t="n">
        <v>82.81999999999999</v>
      </c>
      <c r="C104" s="9" t="n">
        <v>66.58</v>
      </c>
      <c r="D104" s="9" t="n">
        <v>78.16</v>
      </c>
      <c r="E104" s="9" t="n">
        <v>74.44</v>
      </c>
    </row>
    <row r="105">
      <c r="A105" t="inlineStr">
        <is>
          <t>mar-2025</t>
        </is>
      </c>
      <c r="B105" s="9" t="n">
        <v>81.56999999999999</v>
      </c>
      <c r="C105" s="9" t="n">
        <v>66.29000000000001</v>
      </c>
      <c r="D105" s="9" t="n">
        <v>79.90000000000001</v>
      </c>
      <c r="E105" s="9" t="n">
        <v>73.89</v>
      </c>
    </row>
    <row r="106">
      <c r="A106" t="inlineStr">
        <is>
          <t>abr-2025</t>
        </is>
      </c>
      <c r="B106" s="9" t="n">
        <v>81.37</v>
      </c>
      <c r="C106" s="9" t="n">
        <v>65.95999999999999</v>
      </c>
      <c r="D106" s="9" t="n">
        <v>82.19</v>
      </c>
      <c r="E106" s="9" t="n">
        <v>74.33</v>
      </c>
    </row>
    <row r="107">
      <c r="A107" t="inlineStr">
        <is>
          <t>may-2025</t>
        </is>
      </c>
      <c r="B107" s="9" t="n">
        <v>81.75</v>
      </c>
      <c r="C107" s="9" t="n">
        <v>67.11</v>
      </c>
      <c r="D107" s="9" t="n">
        <v>84.40000000000001</v>
      </c>
      <c r="E107" s="9" t="n">
        <v>75.41</v>
      </c>
    </row>
    <row r="108">
      <c r="A108" t="inlineStr">
        <is>
          <t>jun-2025</t>
        </is>
      </c>
      <c r="B108" s="9" t="n">
        <v>81.84</v>
      </c>
      <c r="C108" s="9" t="n">
        <v>66.89</v>
      </c>
      <c r="D108" s="9" t="n">
        <v>84.45999999999999</v>
      </c>
      <c r="E108" s="9" t="n">
        <v>76.42</v>
      </c>
    </row>
    <row r="109">
      <c r="A109" t="inlineStr">
        <is>
          <t>jul-2025</t>
        </is>
      </c>
      <c r="B109" s="9" t="n">
        <v>82.06</v>
      </c>
      <c r="C109" s="9" t="n">
        <v>67.14</v>
      </c>
      <c r="D109" s="9" t="n">
        <v>83</v>
      </c>
      <c r="E109" s="9" t="n">
        <v>76.86</v>
      </c>
    </row>
    <row r="110">
      <c r="A110" t="inlineStr">
        <is>
          <t>ago-2025</t>
        </is>
      </c>
      <c r="B110" s="9" t="n">
        <v>82.36</v>
      </c>
      <c r="C110" s="9" t="n">
        <v>67.73999999999999</v>
      </c>
      <c r="D110" s="9" t="n">
        <v>85.03</v>
      </c>
      <c r="E110" s="9" t="n">
        <v>77.83</v>
      </c>
    </row>
    <row r="111">
      <c r="A111" t="inlineStr">
        <is>
          <t>sep-2025</t>
        </is>
      </c>
      <c r="B111" s="9" t="n">
        <v>81.79000000000001</v>
      </c>
      <c r="C111" s="9" t="n">
        <v>67.12</v>
      </c>
      <c r="D111" s="9" t="n">
        <v>87.15000000000001</v>
      </c>
      <c r="E111" s="9" t="n">
        <v>77.94</v>
      </c>
    </row>
    <row r="112">
      <c r="A112" t="inlineStr">
        <is>
          <t>oct-2025</t>
        </is>
      </c>
      <c r="B112" s="9" t="n">
        <v>81.58</v>
      </c>
      <c r="C112" s="9" t="n">
        <v>66.81999999999999</v>
      </c>
      <c r="D112" s="9" t="n">
        <v>89.17</v>
      </c>
      <c r="E112" s="9" t="n">
        <v>78.06</v>
      </c>
    </row>
    <row r="113">
      <c r="A113" t="inlineStr">
        <is>
          <t>nov-2025</t>
        </is>
      </c>
      <c r="B113" s="9" t="n">
        <v>81.3</v>
      </c>
      <c r="C113" s="9" t="n">
        <v>65.95999999999999</v>
      </c>
      <c r="D113" s="9" t="n">
        <v>91.09999999999999</v>
      </c>
      <c r="E113" s="9" t="n">
        <v>77.53</v>
      </c>
    </row>
    <row r="114">
      <c r="A114" t="inlineStr">
        <is>
          <t>dic-2025</t>
        </is>
      </c>
      <c r="B114" s="9" t="n">
        <v>81.06</v>
      </c>
      <c r="C114" s="9" t="n">
        <v>64.77</v>
      </c>
      <c r="D114" s="9" t="n">
        <v>91.67</v>
      </c>
      <c r="E114" s="9" t="n">
        <v>76.59999999999999</v>
      </c>
    </row>
    <row r="115">
      <c r="A115" t="inlineStr">
        <is>
          <t>ene-2026</t>
        </is>
      </c>
      <c r="B115" s="9" t="n">
        <v>80.45999999999999</v>
      </c>
      <c r="C115" s="9" t="n">
        <v>64.09</v>
      </c>
      <c r="D115" s="9" t="n">
        <v>93.06</v>
      </c>
      <c r="E115" s="9" t="n">
        <v>76.34999999999999</v>
      </c>
    </row>
    <row r="116">
      <c r="A116" t="inlineStr">
        <is>
          <t>feb-2026</t>
        </is>
      </c>
      <c r="B116" s="9" t="n">
        <v>79.42</v>
      </c>
      <c r="C116" s="9" t="n">
        <v>63.74</v>
      </c>
      <c r="D116" s="9" t="n">
        <v>93.95</v>
      </c>
      <c r="E116" s="9" t="n">
        <v>76</v>
      </c>
    </row>
    <row r="117">
      <c r="A117" t="inlineStr">
        <is>
          <t>mar-2026</t>
        </is>
      </c>
      <c r="B117" s="9" t="n">
        <v>78.40000000000001</v>
      </c>
      <c r="C117" s="9" t="n">
        <v>64.77</v>
      </c>
      <c r="D117" s="9" t="n"/>
      <c r="E117" s="9" t="n">
        <v>76.01000000000001</v>
      </c>
    </row>
    <row r="118">
      <c r="A118" t="inlineStr">
        <is>
          <t>abr-2026</t>
        </is>
      </c>
      <c r="B118" s="9" t="n">
        <v>79.48</v>
      </c>
      <c r="C118" s="9" t="n">
        <v>64.61</v>
      </c>
      <c r="D118" s="9" t="n"/>
      <c r="E118" s="9" t="n">
        <v>76.87</v>
      </c>
    </row>
    <row r="119">
      <c r="A119" t="inlineStr">
        <is>
          <t>may-2026</t>
        </is>
      </c>
      <c r="B119" s="9" t="n">
        <v>79.37</v>
      </c>
      <c r="C119" s="9" t="n">
        <v>64.2</v>
      </c>
      <c r="D119" s="9" t="n"/>
      <c r="E119" s="9" t="n">
        <v>76.92</v>
      </c>
    </row>
    <row r="120">
      <c r="A120" t="inlineStr">
        <is>
          <t>jun-2026</t>
        </is>
      </c>
      <c r="B120" s="9" t="n">
        <v>79.41</v>
      </c>
      <c r="C120" s="9" t="n">
        <v>65.17</v>
      </c>
      <c r="D120" s="9" t="n"/>
      <c r="E120" s="9" t="n">
        <v>77.68000000000001</v>
      </c>
    </row>
    <row r="121">
      <c r="A121" t="inlineStr">
        <is>
          <t>jul-2026</t>
        </is>
      </c>
      <c r="B121" s="9" t="n">
        <v>79.51000000000001</v>
      </c>
      <c r="C121" s="9" t="n">
        <v>65.70999999999999</v>
      </c>
      <c r="D121" s="9" t="n"/>
      <c r="E121" s="9" t="n">
        <v>78.20999999999999</v>
      </c>
    </row>
    <row r="123">
      <c r="A123" s="10" t="inlineStr">
        <is>
          <t>← Volver al índice</t>
        </is>
      </c>
    </row>
  </sheetData>
  <mergeCells count="2">
    <mergeCell ref="A3:F3"/>
    <mergeCell ref="A2:F2"/>
  </mergeCells>
  <hyperlinks>
    <hyperlink ref="A123" location="'Leeme'!A1" display="← Volver al índice"/>
  </hyperlinks>
  <printOptions horizontalCentered="1"/>
  <pageMargins left="0.75" right="0.75" top="1" bottom="1" header="0.5" footer="0.5"/>
  <pageSetup orientation="landscape" fitToHeight="0" fitToWidth="1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F1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9" customWidth="1" min="1" max="1"/>
    <col width="45" customWidth="1" min="2" max="2"/>
    <col width="100" customWidth="1" min="3" max="3"/>
  </cols>
  <sheetData>
    <row r="1">
      <c r="A1" s="6" t="inlineStr">
        <is>
          <t>QA</t>
        </is>
      </c>
    </row>
    <row r="2" ht="19" customHeight="1">
      <c r="A2" s="7" t="inlineStr">
        <is>
          <t>¿Los datos son confiables?</t>
        </is>
      </c>
    </row>
    <row r="3" ht="34" customHeight="1">
      <c r="A3" s="8" t="inlineStr">
        <is>
          <t>Cómo se lee: un error frena el pipeline; una alerta es una anomalía real de las fuentes que se documenta y, si corresponde, se aparta del análisis.</t>
        </is>
      </c>
    </row>
    <row r="5">
      <c r="A5" t="inlineStr">
        <is>
          <t>Nivel</t>
        </is>
      </c>
      <c r="B5" t="inlineStr">
        <is>
          <t>Chequeo</t>
        </is>
      </c>
      <c r="C5" t="inlineStr">
        <is>
          <t>Resultado</t>
        </is>
      </c>
    </row>
    <row r="6" ht="19" customHeight="1">
      <c r="A6" s="11" t="inlineStr">
        <is>
          <t>ok</t>
        </is>
      </c>
      <c r="B6" t="inlineStr">
        <is>
          <t>Integridad de archivos (sha256 y filas vs. manifiesto)</t>
        </is>
      </c>
      <c r="C6" s="2" t="inlineStr">
        <is>
          <t>Los 10 archivos coinciden byte a byte con el manifiesto.</t>
        </is>
      </c>
    </row>
    <row r="7" ht="34" customHeight="1">
      <c r="A7" s="11" t="inlineStr">
        <is>
          <t>ok</t>
        </is>
      </c>
      <c r="B7" t="inlineStr">
        <is>
          <t>Unicidad de fecha + serie</t>
        </is>
      </c>
      <c r="C7" s="2" t="inlineStr">
        <is>
          <t>5.563 observaciones descargadas (la historia completa de cada serie, no solo la ventana de análisis), ninguna repetida.</t>
        </is>
      </c>
    </row>
    <row r="8" ht="19" customHeight="1">
      <c r="A8" s="11" t="inlineStr">
        <is>
          <t>ok</t>
        </is>
      </c>
      <c r="B8" t="inlineStr">
        <is>
          <t>Fechas mensuales contiguas</t>
        </is>
      </c>
      <c r="C8" s="2" t="inlineStr">
        <is>
          <t>Todas las fechas son primero de mes y ninguna serie tiene meses salteados.</t>
        </is>
      </c>
    </row>
    <row r="9" ht="19" customHeight="1">
      <c r="A9" s="11" t="inlineStr">
        <is>
          <t>ok</t>
        </is>
      </c>
      <c r="B9" t="inlineStr">
        <is>
          <t>Completitud del catálogo</t>
        </is>
      </c>
      <c r="C9" s="2" t="inlineStr">
        <is>
          <t>Las 33 series del catálogo tienen datos desde dic-2016 o antes.</t>
        </is>
      </c>
    </row>
    <row r="10" ht="19" customHeight="1">
      <c r="A10" s="11" t="inlineStr">
        <is>
          <t>ok</t>
        </is>
      </c>
      <c r="B10" t="inlineStr">
        <is>
          <t>Base 100 de los índices</t>
        </is>
      </c>
      <c r="C10" s="2" t="inlineStr">
        <is>
          <t>Los 27 índices valen 100 en su mes base (IPC dic-2016, salarios oct-2016).</t>
        </is>
      </c>
    </row>
    <row r="11" ht="34" customHeight="1">
      <c r="A11" s="11" t="inlineStr">
        <is>
          <t>ok</t>
        </is>
      </c>
      <c r="B11" t="inlineStr">
        <is>
          <t>Rangos plausibles</t>
        </is>
      </c>
      <c r="C11" s="2" t="inlineStr">
        <is>
          <t>Todos los valores son positivos y ninguna variación mensual sale del rango plausible de su grupo.</t>
        </is>
      </c>
    </row>
    <row r="12" ht="34" customHeight="1">
      <c r="A12" s="12" t="inlineStr">
        <is>
          <t>alerta</t>
        </is>
      </c>
      <c r="B12" t="inlineStr">
        <is>
          <t>Valores con fecha futura</t>
        </is>
      </c>
      <c r="C12" s="2" t="inlineStr">
        <is>
          <t>Salario mínimo, vital y móvil: 6 valores posteriores a oct-2026 (ya fijados por resolución). Se excluyen del análisis.</t>
        </is>
      </c>
    </row>
    <row r="13" ht="34" customHeight="1">
      <c r="A13" s="12" t="inlineStr">
        <is>
          <t>alerta</t>
        </is>
      </c>
      <c r="B13" t="inlineStr">
        <is>
          <t>Valores repetidos sospechosos</t>
        </is>
      </c>
      <c r="C13" s="2" t="inlineStr">
        <is>
          <t>RIPTE de ago-2026 repite exacto el valor de jun-2026. Se carga con estado 'sospechoso' y las vistas no lo usan.</t>
        </is>
      </c>
    </row>
    <row r="14" ht="49" customHeight="1">
      <c r="A14" s="12" t="inlineStr">
        <is>
          <t>alerta</t>
        </is>
      </c>
      <c r="B14" t="inlineStr">
        <is>
          <t>Consistencia API vs. CSV</t>
        </is>
      </c>
      <c r="C14" s="2" t="inlineStr">
        <is>
          <t>11 diferencias entre la API y los CSV; la API devolvió vacías 4 series (IPC Noroeste, IPC recreación y cultura, IPC restaurantes y hoteles, RIPTE) que en el CSV están completas. El pipeline usa siempre los CSV de descarga.</t>
        </is>
      </c>
    </row>
    <row r="15" ht="19" customHeight="1">
      <c r="A15" s="11" t="inlineStr">
        <is>
          <t>ok</t>
        </is>
      </c>
      <c r="B15" t="inlineStr">
        <is>
          <t>Frescura</t>
        </is>
      </c>
      <c r="C15" s="2" t="inlineStr">
        <is>
          <t>Todas las series están dentro del rezago habitual de publicación.</t>
        </is>
      </c>
    </row>
    <row r="16" ht="49" customHeight="1">
      <c r="A16" s="13" t="inlineStr">
        <is>
          <t>info</t>
        </is>
      </c>
      <c r="B16" t="inlineStr">
        <is>
          <t>Alineación de series</t>
        </is>
      </c>
      <c r="C16" s="2" t="inlineStr">
        <is>
          <t>Las series terminan en meses distintos (feb-2026 a oct-2026): cada conclusión se calcula hasta el último mes en que están todas sus series. El índice «Salarios – privado no registrado» se publica con 5 meses de rezago: se fecha en el mes que mide, por eso termina antes.</t>
        </is>
      </c>
    </row>
    <row r="18">
      <c r="A18" s="10" t="inlineStr">
        <is>
          <t>← Volver al índice</t>
        </is>
      </c>
    </row>
  </sheetData>
  <mergeCells count="2">
    <mergeCell ref="A3:F3"/>
    <mergeCell ref="A2:F2"/>
  </mergeCells>
  <hyperlinks>
    <hyperlink ref="A18" location="'Leeme'!A1" display="← Volver al índice"/>
  </hyperlinks>
  <printOptions horizontalCentered="1"/>
  <pageMargins left="0.75" right="0.75" top="1" bottom="1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Juan Barros</dc:creator>
  <dc:title>¿Le ganaron los salarios a la inflación? Argentina 2016–2026</dc:title>
  <dcterms:created xsi:type="dcterms:W3CDTF">2026-10-21T21:41:40Z</dcterms:created>
  <dcterms:modified xsi:type="dcterms:W3CDTF">2026-10-21T21:41:40Z</dcterms:modified>
</cp:coreProperties>
</file>